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PSA\Documents\"/>
    </mc:Choice>
  </mc:AlternateContent>
  <bookViews>
    <workbookView xWindow="0" yWindow="0" windowWidth="20490" windowHeight="7755" tabRatio="374" firstSheet="1" activeTab="1"/>
  </bookViews>
  <sheets>
    <sheet name="Payroll Sample" sheetId="1" state="hidden" r:id="rId1"/>
    <sheet name="All" sheetId="3" r:id="rId2"/>
    <sheet name="Journal" sheetId="15" r:id="rId3"/>
    <sheet name="RESIGNED" sheetId="17" r:id="rId4"/>
  </sheets>
  <externalReferences>
    <externalReference r:id="rId5"/>
  </externalReferences>
  <definedNames>
    <definedName name="_xlnm._FilterDatabase" localSheetId="1" hidden="1">All!$A$4:$HN$25</definedName>
    <definedName name="_xlnm.Print_Area" localSheetId="1">All!$A$4:$EO$35</definedName>
  </definedName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5" l="1"/>
  <c r="C29" i="15"/>
  <c r="G4" i="15" l="1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3" i="15"/>
  <c r="F4" i="15"/>
  <c r="J4" i="15" s="1"/>
  <c r="F5" i="15"/>
  <c r="J5" i="15" s="1"/>
  <c r="F6" i="15"/>
  <c r="J6" i="15" s="1"/>
  <c r="F7" i="15"/>
  <c r="J7" i="15" s="1"/>
  <c r="F8" i="15"/>
  <c r="J8" i="15" s="1"/>
  <c r="F9" i="15"/>
  <c r="J9" i="15" s="1"/>
  <c r="F10" i="15"/>
  <c r="J10" i="15" s="1"/>
  <c r="F11" i="15"/>
  <c r="J11" i="15" s="1"/>
  <c r="F12" i="15"/>
  <c r="J12" i="15" s="1"/>
  <c r="F13" i="15"/>
  <c r="J13" i="15" s="1"/>
  <c r="F14" i="15"/>
  <c r="J14" i="15" s="1"/>
  <c r="F15" i="15"/>
  <c r="J15" i="15" s="1"/>
  <c r="F16" i="15"/>
  <c r="J16" i="15" s="1"/>
  <c r="F17" i="15"/>
  <c r="J17" i="15" s="1"/>
  <c r="F3" i="15"/>
  <c r="J3" i="15" s="1"/>
  <c r="FW1" i="17"/>
  <c r="HH1" i="17" s="1"/>
  <c r="FV1" i="17"/>
  <c r="HG1" i="17" s="1"/>
  <c r="FU1" i="17"/>
  <c r="HF1" i="17" s="1"/>
  <c r="FT1" i="17"/>
  <c r="HE1" i="17" s="1"/>
  <c r="FS1" i="17"/>
  <c r="HD1" i="17" s="1"/>
  <c r="FR1" i="17"/>
  <c r="HC1" i="17" s="1"/>
  <c r="FQ1" i="17"/>
  <c r="HB1" i="17" s="1"/>
  <c r="FN1" i="17"/>
  <c r="GY1" i="17" s="1"/>
  <c r="FL1" i="17"/>
  <c r="GW1" i="17" s="1"/>
  <c r="FE1" i="17"/>
  <c r="GP1" i="17" s="1"/>
  <c r="EY1" i="17"/>
  <c r="GJ1" i="17" s="1"/>
  <c r="EX1" i="17"/>
  <c r="GI1" i="17" s="1"/>
  <c r="ET1" i="17"/>
  <c r="GE1" i="17" s="1"/>
  <c r="EL1" i="17"/>
  <c r="EK1" i="17"/>
  <c r="EJ1" i="17"/>
  <c r="EF1" i="17"/>
  <c r="FP1" i="17" s="1"/>
  <c r="HA1" i="17" s="1"/>
  <c r="DY1" i="17"/>
  <c r="DQ1" i="17"/>
  <c r="DL1" i="17"/>
  <c r="DF1" i="17"/>
  <c r="DA1" i="17"/>
  <c r="DB1" i="17" s="1"/>
  <c r="FM1" i="17" s="1"/>
  <c r="GX1" i="17" s="1"/>
  <c r="CZ1" i="17"/>
  <c r="CS1" i="17"/>
  <c r="CR1" i="17"/>
  <c r="CQ1" i="17"/>
  <c r="CM1" i="17"/>
  <c r="BT1" i="17"/>
  <c r="BS1" i="17"/>
  <c r="BJ1" i="17"/>
  <c r="AN1" i="17"/>
  <c r="V1" i="17"/>
  <c r="L1" i="17"/>
  <c r="I1" i="17"/>
  <c r="J19" i="15" l="1"/>
  <c r="FK1" i="17"/>
  <c r="GV1" i="17" s="1"/>
  <c r="CN1" i="17"/>
  <c r="BV1" i="17"/>
  <c r="EV1" i="17" s="1"/>
  <c r="GG1" i="17" s="1"/>
  <c r="BU1" i="17"/>
  <c r="EU1" i="17" s="1"/>
  <c r="GF1" i="17" s="1"/>
  <c r="M1" i="17"/>
  <c r="DC1" i="17"/>
  <c r="O1" i="17"/>
  <c r="EG1" i="17"/>
  <c r="EO24" i="3"/>
  <c r="EQ1" i="17" l="1"/>
  <c r="CH1" i="17"/>
  <c r="BG1" i="17"/>
  <c r="AY1" i="17"/>
  <c r="AQ1" i="17"/>
  <c r="AK1" i="17"/>
  <c r="AC1" i="17"/>
  <c r="BE1" i="17"/>
  <c r="AW1" i="17"/>
  <c r="AI1" i="17"/>
  <c r="AA1" i="17"/>
  <c r="U1" i="17"/>
  <c r="N1" i="17"/>
  <c r="BC1" i="17"/>
  <c r="AU1" i="17"/>
  <c r="AG1" i="17"/>
  <c r="Y1" i="17"/>
  <c r="S1" i="17"/>
  <c r="AS1" i="17"/>
  <c r="BI1" i="17"/>
  <c r="AM1" i="17"/>
  <c r="Q1" i="17"/>
  <c r="BA1" i="17"/>
  <c r="AE1" i="17"/>
  <c r="AO1" i="17" l="1"/>
  <c r="CL1" i="17"/>
  <c r="CJ1" i="17"/>
  <c r="GB1" i="17"/>
  <c r="HQ1" i="17"/>
  <c r="W1" i="17"/>
  <c r="BK1" i="17"/>
  <c r="ER1" i="17" l="1"/>
  <c r="GC1" i="17" s="1"/>
  <c r="CO1" i="17"/>
  <c r="FO1" i="17"/>
  <c r="HP1" i="17"/>
  <c r="EN1" i="17"/>
  <c r="EP1" i="17"/>
  <c r="EI1" i="17"/>
  <c r="CP1" i="17"/>
  <c r="GZ1" i="17" l="1"/>
  <c r="HI1" i="17" s="1"/>
  <c r="FX1" i="17"/>
  <c r="EH1" i="17"/>
  <c r="EM1" i="17" s="1"/>
  <c r="HL1" i="17"/>
  <c r="EZ1" i="17" a="1"/>
  <c r="EZ1" i="17" s="1"/>
  <c r="EW1" i="17" a="1"/>
  <c r="EW1" i="17" s="1"/>
  <c r="FG1" i="17" a="1"/>
  <c r="FG1" i="17" s="1"/>
  <c r="ES1" i="17" a="1"/>
  <c r="ES1" i="17" s="1"/>
  <c r="FD1" i="17" a="1"/>
  <c r="FD1" i="17" s="1"/>
  <c r="FA1" i="17" a="1"/>
  <c r="FA1" i="17" s="1"/>
  <c r="FH1" i="17" a="1"/>
  <c r="FH1" i="17" s="1"/>
  <c r="FF1" i="17" a="1"/>
  <c r="FF1" i="17" s="1"/>
  <c r="FB1" i="17" l="1"/>
  <c r="GR1" i="17"/>
  <c r="HM1" i="17"/>
  <c r="HR1" i="17"/>
  <c r="FC1" i="17"/>
  <c r="GQ1" i="17"/>
  <c r="FI1" i="17"/>
  <c r="GS1" i="17"/>
  <c r="GO1" i="17"/>
  <c r="FJ1" i="17" l="1"/>
  <c r="FY1" i="17" s="1"/>
  <c r="GK1" i="17"/>
  <c r="GL1" i="17"/>
  <c r="GH1" i="17"/>
  <c r="GD1" i="17"/>
  <c r="GT1" i="17"/>
  <c r="GN1" i="17" l="1"/>
  <c r="GU1" i="17" s="1"/>
  <c r="HJ1" i="17" s="1"/>
  <c r="GM1" i="17"/>
  <c r="J24" i="3"/>
  <c r="K24" i="3"/>
  <c r="P24" i="3"/>
  <c r="R24" i="3"/>
  <c r="T24" i="3"/>
  <c r="X24" i="3"/>
  <c r="Z24" i="3"/>
  <c r="AB24" i="3"/>
  <c r="AD24" i="3"/>
  <c r="AF24" i="3"/>
  <c r="AH24" i="3"/>
  <c r="AJ24" i="3"/>
  <c r="AL24" i="3"/>
  <c r="AP24" i="3"/>
  <c r="AR24" i="3"/>
  <c r="AT24" i="3"/>
  <c r="AV24" i="3"/>
  <c r="AX24" i="3"/>
  <c r="AZ24" i="3"/>
  <c r="BB24" i="3"/>
  <c r="BD24" i="3"/>
  <c r="BF24" i="3"/>
  <c r="BH24" i="3"/>
  <c r="BL24" i="3"/>
  <c r="BM24" i="3"/>
  <c r="BN24" i="3"/>
  <c r="BO24" i="3"/>
  <c r="BP24" i="3"/>
  <c r="BQ24" i="3"/>
  <c r="BR24" i="3"/>
  <c r="BW24" i="3"/>
  <c r="BX24" i="3"/>
  <c r="BY24" i="3"/>
  <c r="BZ24" i="3"/>
  <c r="CA24" i="3"/>
  <c r="CB24" i="3"/>
  <c r="CC24" i="3"/>
  <c r="CD24" i="3"/>
  <c r="CE24" i="3"/>
  <c r="CF24" i="3"/>
  <c r="CG24" i="3"/>
  <c r="CI24" i="3"/>
  <c r="CK24" i="3"/>
  <c r="CT24" i="3"/>
  <c r="CU24" i="3"/>
  <c r="CV24" i="3"/>
  <c r="CW24" i="3"/>
  <c r="CX24" i="3"/>
  <c r="CY24" i="3"/>
  <c r="DD24" i="3"/>
  <c r="DE24" i="3"/>
  <c r="DH24" i="3"/>
  <c r="DI24" i="3"/>
  <c r="DJ24" i="3"/>
  <c r="DK24" i="3"/>
  <c r="DM24" i="3"/>
  <c r="DN24" i="3"/>
  <c r="DO24" i="3"/>
  <c r="DP24" i="3"/>
  <c r="DR24" i="3"/>
  <c r="DS24" i="3"/>
  <c r="DT24" i="3"/>
  <c r="DU24" i="3"/>
  <c r="DV24" i="3"/>
  <c r="DW24" i="3"/>
  <c r="DX24" i="3"/>
  <c r="DZ24" i="3"/>
  <c r="DZ26" i="3" s="1"/>
  <c r="EA24" i="3"/>
  <c r="EA26" i="3" s="1"/>
  <c r="EB24" i="3"/>
  <c r="EC24" i="3"/>
  <c r="ED24" i="3"/>
  <c r="EE24" i="3"/>
  <c r="H24" i="3"/>
  <c r="CZ16" i="3"/>
  <c r="L10" i="3"/>
  <c r="BV10" i="3" s="1"/>
  <c r="L11" i="3"/>
  <c r="L12" i="3"/>
  <c r="BU12" i="3" s="1"/>
  <c r="L13" i="3"/>
  <c r="BU13" i="3" s="1"/>
  <c r="L14" i="3"/>
  <c r="BV14" i="3" s="1"/>
  <c r="L15" i="3"/>
  <c r="BU15" i="3" s="1"/>
  <c r="L16" i="3"/>
  <c r="BV16" i="3" s="1"/>
  <c r="L17" i="3"/>
  <c r="BU17" i="3" s="1"/>
  <c r="L18" i="3"/>
  <c r="BU18" i="3" s="1"/>
  <c r="L19" i="3"/>
  <c r="BU19" i="3" s="1"/>
  <c r="L20" i="3"/>
  <c r="BV20" i="3" s="1"/>
  <c r="L21" i="3"/>
  <c r="BU21" i="3" s="1"/>
  <c r="L22" i="3"/>
  <c r="BU22" i="3" s="1"/>
  <c r="L23" i="3"/>
  <c r="BV23" i="3" s="1"/>
  <c r="L9" i="3"/>
  <c r="CM23" i="3"/>
  <c r="CN23" i="3" s="1"/>
  <c r="BU23" i="3"/>
  <c r="BT23" i="3"/>
  <c r="BS23" i="3"/>
  <c r="BJ23" i="3"/>
  <c r="AN23" i="3"/>
  <c r="V23" i="3"/>
  <c r="CM22" i="3"/>
  <c r="BT22" i="3"/>
  <c r="BS22" i="3"/>
  <c r="BJ22" i="3"/>
  <c r="AN22" i="3"/>
  <c r="V22" i="3"/>
  <c r="CM21" i="3"/>
  <c r="BV21" i="3"/>
  <c r="BT21" i="3"/>
  <c r="BS21" i="3"/>
  <c r="BJ21" i="3"/>
  <c r="AN21" i="3"/>
  <c r="V21" i="3"/>
  <c r="CM20" i="3"/>
  <c r="BT20" i="3"/>
  <c r="BS20" i="3"/>
  <c r="BJ20" i="3"/>
  <c r="AN20" i="3"/>
  <c r="V20" i="3"/>
  <c r="CM19" i="3"/>
  <c r="BV19" i="3"/>
  <c r="BT19" i="3"/>
  <c r="BS19" i="3"/>
  <c r="BJ19" i="3"/>
  <c r="AN19" i="3"/>
  <c r="V19" i="3"/>
  <c r="CM18" i="3"/>
  <c r="BT18" i="3"/>
  <c r="BS18" i="3"/>
  <c r="BJ18" i="3"/>
  <c r="AN18" i="3"/>
  <c r="V18" i="3"/>
  <c r="CM17" i="3"/>
  <c r="BV17" i="3"/>
  <c r="BT17" i="3"/>
  <c r="BS17" i="3"/>
  <c r="BJ17" i="3"/>
  <c r="AN17" i="3"/>
  <c r="V17" i="3"/>
  <c r="CM16" i="3"/>
  <c r="BT16" i="3"/>
  <c r="BS16" i="3"/>
  <c r="BJ16" i="3"/>
  <c r="AN16" i="3"/>
  <c r="V16" i="3"/>
  <c r="CM15" i="3"/>
  <c r="BT15" i="3"/>
  <c r="BS15" i="3"/>
  <c r="BJ15" i="3"/>
  <c r="AN15" i="3"/>
  <c r="V15" i="3"/>
  <c r="CM14" i="3"/>
  <c r="BT14" i="3"/>
  <c r="BS14" i="3"/>
  <c r="BJ14" i="3"/>
  <c r="AN14" i="3"/>
  <c r="V14" i="3"/>
  <c r="CM13" i="3"/>
  <c r="BV13" i="3"/>
  <c r="BT13" i="3"/>
  <c r="BS13" i="3"/>
  <c r="BJ13" i="3"/>
  <c r="AN13" i="3"/>
  <c r="V13" i="3"/>
  <c r="CM12" i="3"/>
  <c r="BT12" i="3"/>
  <c r="BS12" i="3"/>
  <c r="BJ12" i="3"/>
  <c r="AN12" i="3"/>
  <c r="V12" i="3"/>
  <c r="CM11" i="3"/>
  <c r="BV11" i="3"/>
  <c r="BT11" i="3"/>
  <c r="BS11" i="3"/>
  <c r="BJ11" i="3"/>
  <c r="AN11" i="3"/>
  <c r="V11" i="3"/>
  <c r="CM10" i="3"/>
  <c r="BT10" i="3"/>
  <c r="BS10" i="3"/>
  <c r="BJ10" i="3"/>
  <c r="AN10" i="3"/>
  <c r="V10" i="3"/>
  <c r="BV15" i="3" l="1"/>
  <c r="BU16" i="3"/>
  <c r="BV18" i="3"/>
  <c r="BU20" i="3"/>
  <c r="BV22" i="3"/>
  <c r="CN12" i="3"/>
  <c r="CN16" i="3"/>
  <c r="CN20" i="3"/>
  <c r="BV12" i="3"/>
  <c r="BU14" i="3"/>
  <c r="BU10" i="3"/>
  <c r="BU11" i="3"/>
  <c r="CN10" i="3"/>
  <c r="CN14" i="3"/>
  <c r="CN18" i="3"/>
  <c r="L24" i="3"/>
  <c r="CN11" i="3"/>
  <c r="CN13" i="3"/>
  <c r="CN15" i="3"/>
  <c r="CN17" i="3"/>
  <c r="CN19" i="3"/>
  <c r="CN21" i="3"/>
  <c r="CN22" i="3"/>
  <c r="FW10" i="3" l="1"/>
  <c r="HH10" i="3" s="1"/>
  <c r="FV10" i="3"/>
  <c r="HG10" i="3" s="1"/>
  <c r="FU10" i="3"/>
  <c r="HF10" i="3" s="1"/>
  <c r="FT10" i="3"/>
  <c r="HE10" i="3" s="1"/>
  <c r="FS10" i="3"/>
  <c r="HD10" i="3" s="1"/>
  <c r="FR10" i="3"/>
  <c r="HC10" i="3" s="1"/>
  <c r="FQ10" i="3"/>
  <c r="HB10" i="3" s="1"/>
  <c r="FN10" i="3"/>
  <c r="GY10" i="3" s="1"/>
  <c r="FL10" i="3"/>
  <c r="GW10" i="3" s="1"/>
  <c r="FE10" i="3"/>
  <c r="EY10" i="3"/>
  <c r="GJ10" i="3" s="1"/>
  <c r="EX10" i="3"/>
  <c r="GI10" i="3" s="1"/>
  <c r="ET10" i="3"/>
  <c r="GE10" i="3" s="1"/>
  <c r="EL10" i="3"/>
  <c r="EK10" i="3"/>
  <c r="EJ10" i="3"/>
  <c r="EF10" i="3"/>
  <c r="FP10" i="3" s="1"/>
  <c r="HA10" i="3" s="1"/>
  <c r="DY10" i="3"/>
  <c r="DQ10" i="3"/>
  <c r="DL10" i="3"/>
  <c r="DF10" i="3"/>
  <c r="DA10" i="3"/>
  <c r="DG10" i="3" s="1"/>
  <c r="CZ10" i="3"/>
  <c r="CS10" i="3"/>
  <c r="CR10" i="3"/>
  <c r="CQ10" i="3"/>
  <c r="EU10" i="3"/>
  <c r="GF10" i="3" s="1"/>
  <c r="I10" i="3"/>
  <c r="FW17" i="3"/>
  <c r="HH17" i="3" s="1"/>
  <c r="FV17" i="3"/>
  <c r="HG17" i="3" s="1"/>
  <c r="FU17" i="3"/>
  <c r="HF17" i="3" s="1"/>
  <c r="FT17" i="3"/>
  <c r="HE17" i="3" s="1"/>
  <c r="FS17" i="3"/>
  <c r="HD17" i="3" s="1"/>
  <c r="FR17" i="3"/>
  <c r="HC17" i="3" s="1"/>
  <c r="FQ17" i="3"/>
  <c r="HB17" i="3" s="1"/>
  <c r="FN17" i="3"/>
  <c r="GY17" i="3" s="1"/>
  <c r="FL17" i="3"/>
  <c r="GW17" i="3" s="1"/>
  <c r="FE17" i="3"/>
  <c r="EY17" i="3"/>
  <c r="GJ17" i="3" s="1"/>
  <c r="EX17" i="3"/>
  <c r="GI17" i="3" s="1"/>
  <c r="ET17" i="3"/>
  <c r="GE17" i="3" s="1"/>
  <c r="EL17" i="3"/>
  <c r="EK17" i="3"/>
  <c r="EJ17" i="3"/>
  <c r="EF17" i="3"/>
  <c r="FP17" i="3" s="1"/>
  <c r="HA17" i="3" s="1"/>
  <c r="DY17" i="3"/>
  <c r="DQ17" i="3"/>
  <c r="DL17" i="3"/>
  <c r="DF17" i="3"/>
  <c r="CZ17" i="3"/>
  <c r="CS17" i="3"/>
  <c r="CR17" i="3"/>
  <c r="CQ17" i="3"/>
  <c r="EU17" i="3"/>
  <c r="GF17" i="3" s="1"/>
  <c r="M17" i="3"/>
  <c r="I17" i="3"/>
  <c r="O17" i="3" s="1"/>
  <c r="DA17" i="3"/>
  <c r="DG17" i="3" s="1"/>
  <c r="FW22" i="3"/>
  <c r="HH22" i="3" s="1"/>
  <c r="FV22" i="3"/>
  <c r="HG22" i="3" s="1"/>
  <c r="FU22" i="3"/>
  <c r="HF22" i="3" s="1"/>
  <c r="FT22" i="3"/>
  <c r="HE22" i="3" s="1"/>
  <c r="FS22" i="3"/>
  <c r="HD22" i="3" s="1"/>
  <c r="FR22" i="3"/>
  <c r="HC22" i="3" s="1"/>
  <c r="FQ22" i="3"/>
  <c r="HB22" i="3" s="1"/>
  <c r="FN22" i="3"/>
  <c r="GY22" i="3" s="1"/>
  <c r="FL22" i="3"/>
  <c r="GW22" i="3" s="1"/>
  <c r="FE22" i="3"/>
  <c r="EY22" i="3"/>
  <c r="GJ22" i="3" s="1"/>
  <c r="EX22" i="3"/>
  <c r="GI22" i="3" s="1"/>
  <c r="ET22" i="3"/>
  <c r="GE22" i="3" s="1"/>
  <c r="EL22" i="3"/>
  <c r="EK22" i="3"/>
  <c r="EJ22" i="3"/>
  <c r="EF22" i="3"/>
  <c r="FP22" i="3" s="1"/>
  <c r="HA22" i="3" s="1"/>
  <c r="DY22" i="3"/>
  <c r="DQ22" i="3"/>
  <c r="DL22" i="3"/>
  <c r="DF22" i="3"/>
  <c r="CZ22" i="3"/>
  <c r="CS22" i="3"/>
  <c r="CR22" i="3"/>
  <c r="CQ22" i="3"/>
  <c r="EU22" i="3"/>
  <c r="GF22" i="3" s="1"/>
  <c r="M22" i="3"/>
  <c r="DA22" i="3"/>
  <c r="DG22" i="3" s="1"/>
  <c r="FW20" i="3"/>
  <c r="HH20" i="3" s="1"/>
  <c r="FV20" i="3"/>
  <c r="HG20" i="3" s="1"/>
  <c r="FU20" i="3"/>
  <c r="HF20" i="3" s="1"/>
  <c r="FT20" i="3"/>
  <c r="HE20" i="3" s="1"/>
  <c r="FS20" i="3"/>
  <c r="HD20" i="3" s="1"/>
  <c r="FR20" i="3"/>
  <c r="HC20" i="3" s="1"/>
  <c r="FQ20" i="3"/>
  <c r="HB20" i="3" s="1"/>
  <c r="FN20" i="3"/>
  <c r="GY20" i="3" s="1"/>
  <c r="FL20" i="3"/>
  <c r="GW20" i="3" s="1"/>
  <c r="FE20" i="3"/>
  <c r="EY20" i="3"/>
  <c r="GJ20" i="3" s="1"/>
  <c r="EX20" i="3"/>
  <c r="GI20" i="3" s="1"/>
  <c r="ET20" i="3"/>
  <c r="GE20" i="3" s="1"/>
  <c r="EL20" i="3"/>
  <c r="EK20" i="3"/>
  <c r="EJ20" i="3"/>
  <c r="EF20" i="3"/>
  <c r="FP20" i="3" s="1"/>
  <c r="HA20" i="3" s="1"/>
  <c r="DY20" i="3"/>
  <c r="DQ20" i="3"/>
  <c r="DL20" i="3"/>
  <c r="DF20" i="3"/>
  <c r="CZ20" i="3"/>
  <c r="CS20" i="3"/>
  <c r="CR20" i="3"/>
  <c r="CQ20" i="3"/>
  <c r="EU20" i="3"/>
  <c r="GF20" i="3" s="1"/>
  <c r="M20" i="3"/>
  <c r="EG10" i="3" l="1"/>
  <c r="BG22" i="3"/>
  <c r="BC22" i="3"/>
  <c r="AY22" i="3"/>
  <c r="AU22" i="3"/>
  <c r="AQ22" i="3"/>
  <c r="AM22" i="3"/>
  <c r="AI22" i="3"/>
  <c r="AE22" i="3"/>
  <c r="AA22" i="3"/>
  <c r="S22" i="3"/>
  <c r="BE22" i="3"/>
  <c r="AW22" i="3"/>
  <c r="AG22" i="3"/>
  <c r="Y22" i="3"/>
  <c r="U22" i="3"/>
  <c r="CH22" i="3"/>
  <c r="BI22" i="3"/>
  <c r="BA22" i="3"/>
  <c r="AS22" i="3"/>
  <c r="AK22" i="3"/>
  <c r="AC22" i="3"/>
  <c r="Q22" i="3"/>
  <c r="BG20" i="3"/>
  <c r="BC20" i="3"/>
  <c r="AY20" i="3"/>
  <c r="AU20" i="3"/>
  <c r="AQ20" i="3"/>
  <c r="AM20" i="3"/>
  <c r="AI20" i="3"/>
  <c r="AE20" i="3"/>
  <c r="AA20" i="3"/>
  <c r="S20" i="3"/>
  <c r="CH20" i="3"/>
  <c r="BI20" i="3"/>
  <c r="BA20" i="3"/>
  <c r="AS20" i="3"/>
  <c r="AK20" i="3"/>
  <c r="AC20" i="3"/>
  <c r="Q20" i="3"/>
  <c r="AW20" i="3"/>
  <c r="AG20" i="3"/>
  <c r="BE20" i="3"/>
  <c r="Y20" i="3"/>
  <c r="U20" i="3"/>
  <c r="W20" i="3" s="1"/>
  <c r="I22" i="3"/>
  <c r="O22" i="3" s="1"/>
  <c r="EQ22" i="3" s="1"/>
  <c r="BG17" i="3"/>
  <c r="BC17" i="3"/>
  <c r="AY17" i="3"/>
  <c r="BE17" i="3"/>
  <c r="AW17" i="3"/>
  <c r="AS17" i="3"/>
  <c r="AK17" i="3"/>
  <c r="AG17" i="3"/>
  <c r="AC17" i="3"/>
  <c r="Y17" i="3"/>
  <c r="U17" i="3"/>
  <c r="Q17" i="3"/>
  <c r="CH17" i="3"/>
  <c r="BI17" i="3"/>
  <c r="AU17" i="3"/>
  <c r="AI17" i="3"/>
  <c r="AA17" i="3"/>
  <c r="S17" i="3"/>
  <c r="BA17" i="3"/>
  <c r="AQ17" i="3"/>
  <c r="AM17" i="3"/>
  <c r="AE17" i="3"/>
  <c r="N20" i="3"/>
  <c r="EV10" i="3"/>
  <c r="GG10" i="3" s="1"/>
  <c r="N22" i="3"/>
  <c r="EG22" i="3"/>
  <c r="EG17" i="3"/>
  <c r="FK17" i="3"/>
  <c r="GV17" i="3" s="1"/>
  <c r="O10" i="3"/>
  <c r="EQ10" i="3" s="1"/>
  <c r="FK10" i="3"/>
  <c r="GV10" i="3" s="1"/>
  <c r="M10" i="3"/>
  <c r="DB10" i="3"/>
  <c r="DC10" i="3" s="1"/>
  <c r="GP10" i="3"/>
  <c r="DB17" i="3"/>
  <c r="FM17" i="3" s="1"/>
  <c r="EQ17" i="3"/>
  <c r="EV17" i="3"/>
  <c r="GG17" i="3" s="1"/>
  <c r="N17" i="3"/>
  <c r="GP17" i="3"/>
  <c r="FK22" i="3"/>
  <c r="GV22" i="3" s="1"/>
  <c r="DA20" i="3"/>
  <c r="I20" i="3"/>
  <c r="EV22" i="3"/>
  <c r="GG22" i="3" s="1"/>
  <c r="DB22" i="3"/>
  <c r="DC22" i="3" s="1"/>
  <c r="GP22" i="3"/>
  <c r="FK20" i="3"/>
  <c r="GV20" i="3" s="1"/>
  <c r="EV20" i="3"/>
  <c r="GG20" i="3" s="1"/>
  <c r="GP20" i="3"/>
  <c r="DB20" i="3"/>
  <c r="DC20" i="3" s="1"/>
  <c r="FW19" i="3"/>
  <c r="HH19" i="3" s="1"/>
  <c r="FV19" i="3"/>
  <c r="HG19" i="3" s="1"/>
  <c r="FU19" i="3"/>
  <c r="HF19" i="3" s="1"/>
  <c r="FT19" i="3"/>
  <c r="HE19" i="3" s="1"/>
  <c r="FS19" i="3"/>
  <c r="HD19" i="3" s="1"/>
  <c r="FR19" i="3"/>
  <c r="HC19" i="3" s="1"/>
  <c r="FQ19" i="3"/>
  <c r="HB19" i="3" s="1"/>
  <c r="FN19" i="3"/>
  <c r="GY19" i="3" s="1"/>
  <c r="FL19" i="3"/>
  <c r="GW19" i="3" s="1"/>
  <c r="FE19" i="3"/>
  <c r="EY19" i="3"/>
  <c r="GJ19" i="3" s="1"/>
  <c r="EX19" i="3"/>
  <c r="GI19" i="3" s="1"/>
  <c r="ET19" i="3"/>
  <c r="GE19" i="3" s="1"/>
  <c r="EL19" i="3"/>
  <c r="EK19" i="3"/>
  <c r="EJ19" i="3"/>
  <c r="EF19" i="3"/>
  <c r="FP19" i="3" s="1"/>
  <c r="HA19" i="3" s="1"/>
  <c r="DY19" i="3"/>
  <c r="DQ19" i="3"/>
  <c r="DL19" i="3"/>
  <c r="DF19" i="3"/>
  <c r="CZ19" i="3"/>
  <c r="CS19" i="3"/>
  <c r="CR19" i="3"/>
  <c r="CQ19" i="3"/>
  <c r="EU19" i="3"/>
  <c r="GF19" i="3" s="1"/>
  <c r="M19" i="3"/>
  <c r="I19" i="3"/>
  <c r="O19" i="3" s="1"/>
  <c r="DA19" i="3"/>
  <c r="DG19" i="3" s="1"/>
  <c r="I14" i="3"/>
  <c r="DG20" i="3" l="1"/>
  <c r="EG20" i="3" s="1"/>
  <c r="BG19" i="3"/>
  <c r="BC19" i="3"/>
  <c r="AY19" i="3"/>
  <c r="AU19" i="3"/>
  <c r="AQ19" i="3"/>
  <c r="AM19" i="3"/>
  <c r="AI19" i="3"/>
  <c r="AE19" i="3"/>
  <c r="AA19" i="3"/>
  <c r="S19" i="3"/>
  <c r="BE19" i="3"/>
  <c r="AW19" i="3"/>
  <c r="AG19" i="3"/>
  <c r="Y19" i="3"/>
  <c r="U19" i="3"/>
  <c r="BA19" i="3"/>
  <c r="AC19" i="3"/>
  <c r="Q19" i="3"/>
  <c r="CH19" i="3"/>
  <c r="BI19" i="3"/>
  <c r="AS19" i="3"/>
  <c r="AK19" i="3"/>
  <c r="O20" i="3"/>
  <c r="BK17" i="3"/>
  <c r="AO20" i="3"/>
  <c r="CJ17" i="3"/>
  <c r="HQ17" i="3" s="1"/>
  <c r="CL17" i="3"/>
  <c r="CH10" i="3"/>
  <c r="BI10" i="3"/>
  <c r="BE10" i="3"/>
  <c r="BA10" i="3"/>
  <c r="AW10" i="3"/>
  <c r="AS10" i="3"/>
  <c r="AK10" i="3"/>
  <c r="AG10" i="3"/>
  <c r="AC10" i="3"/>
  <c r="Y10" i="3"/>
  <c r="U10" i="3"/>
  <c r="Q10" i="3"/>
  <c r="BG10" i="3"/>
  <c r="AY10" i="3"/>
  <c r="AQ10" i="3"/>
  <c r="AM10" i="3"/>
  <c r="AE10" i="3"/>
  <c r="AU10" i="3"/>
  <c r="AI10" i="3"/>
  <c r="BC10" i="3"/>
  <c r="AA10" i="3"/>
  <c r="S10" i="3"/>
  <c r="CJ22" i="3"/>
  <c r="HQ22" i="3" s="1"/>
  <c r="CL22" i="3"/>
  <c r="CJ20" i="3"/>
  <c r="HQ20" i="3" s="1"/>
  <c r="CL20" i="3"/>
  <c r="AO17" i="3"/>
  <c r="W17" i="3"/>
  <c r="BK20" i="3"/>
  <c r="BK22" i="3"/>
  <c r="W22" i="3"/>
  <c r="AO22" i="3"/>
  <c r="N19" i="3"/>
  <c r="FM22" i="3"/>
  <c r="GX22" i="3" s="1"/>
  <c r="EG19" i="3"/>
  <c r="FK19" i="3"/>
  <c r="GV19" i="3" s="1"/>
  <c r="FM10" i="3"/>
  <c r="N10" i="3"/>
  <c r="GB10" i="3"/>
  <c r="GX17" i="3"/>
  <c r="GB17" i="3"/>
  <c r="DC17" i="3"/>
  <c r="GB22" i="3"/>
  <c r="FM20" i="3"/>
  <c r="GX20" i="3" s="1"/>
  <c r="EV19" i="3"/>
  <c r="GG19" i="3" s="1"/>
  <c r="EQ19" i="3"/>
  <c r="GP19" i="3"/>
  <c r="DB19" i="3"/>
  <c r="DC19" i="3" s="1"/>
  <c r="CO20" i="3" l="1"/>
  <c r="EP20" i="3" s="1"/>
  <c r="CO22" i="3"/>
  <c r="HP22" i="3" s="1"/>
  <c r="AO10" i="3"/>
  <c r="CL10" i="3"/>
  <c r="CJ10" i="3"/>
  <c r="HQ10" i="3" s="1"/>
  <c r="BK10" i="3"/>
  <c r="CJ19" i="3"/>
  <c r="HQ19" i="3" s="1"/>
  <c r="CL19" i="3"/>
  <c r="W10" i="3"/>
  <c r="CO17" i="3"/>
  <c r="CP17" i="3" s="1"/>
  <c r="EQ20" i="3"/>
  <c r="GB20" i="3" s="1"/>
  <c r="BK19" i="3"/>
  <c r="W19" i="3"/>
  <c r="AO19" i="3"/>
  <c r="ER17" i="3"/>
  <c r="GC17" i="3" s="1"/>
  <c r="EI22" i="3"/>
  <c r="EI17" i="3"/>
  <c r="GX10" i="3"/>
  <c r="ER22" i="3"/>
  <c r="ER20" i="3"/>
  <c r="EI20" i="3"/>
  <c r="FM19" i="3"/>
  <c r="GX19" i="3" s="1"/>
  <c r="GB19" i="3"/>
  <c r="FO20" i="3" l="1"/>
  <c r="CP20" i="3"/>
  <c r="EH20" i="3" s="1"/>
  <c r="EM20" i="3" s="1"/>
  <c r="HR20" i="3" s="1"/>
  <c r="EP22" i="3"/>
  <c r="CP22" i="3"/>
  <c r="EH22" i="3" s="1"/>
  <c r="EM22" i="3" s="1"/>
  <c r="HR22" i="3" s="1"/>
  <c r="EN22" i="3"/>
  <c r="FD22" i="3" s="1" a="1"/>
  <c r="FD22" i="3" s="1"/>
  <c r="FO22" i="3"/>
  <c r="HP20" i="3"/>
  <c r="EN20" i="3"/>
  <c r="EP17" i="3"/>
  <c r="CO19" i="3"/>
  <c r="CP19" i="3" s="1"/>
  <c r="FO17" i="3"/>
  <c r="FX17" i="3" s="1"/>
  <c r="HP17" i="3"/>
  <c r="FF22" i="3" a="1"/>
  <c r="FF22" i="3" s="1"/>
  <c r="CO10" i="3"/>
  <c r="CP10" i="3" s="1"/>
  <c r="EN17" i="3"/>
  <c r="FG17" i="3" s="1" a="1"/>
  <c r="FG17" i="3" s="1"/>
  <c r="ER10" i="3"/>
  <c r="GC10" i="3" s="1"/>
  <c r="EI10" i="3"/>
  <c r="HL17" i="3"/>
  <c r="EH17" i="3"/>
  <c r="EM17" i="3" s="1"/>
  <c r="HR17" i="3" s="1"/>
  <c r="GC22" i="3"/>
  <c r="GC20" i="3"/>
  <c r="ER19" i="3"/>
  <c r="EI19" i="3"/>
  <c r="HL20" i="3" l="1"/>
  <c r="HM20" i="3" s="1"/>
  <c r="EW22" i="3" a="1"/>
  <c r="EW22" i="3" s="1"/>
  <c r="FF17" i="3" a="1"/>
  <c r="FF17" i="3" s="1"/>
  <c r="GZ17" i="3"/>
  <c r="HI17" i="3" s="1"/>
  <c r="GZ20" i="3"/>
  <c r="HI20" i="3" s="1"/>
  <c r="FX20" i="3"/>
  <c r="EN19" i="3"/>
  <c r="FH19" i="3" s="1" a="1"/>
  <c r="FH19" i="3" s="1"/>
  <c r="HL22" i="3"/>
  <c r="HM22" i="3" s="1"/>
  <c r="ES22" i="3" a="1"/>
  <c r="ES22" i="3" s="1"/>
  <c r="FA22" i="3" a="1"/>
  <c r="FA22" i="3" s="1"/>
  <c r="EZ22" i="3" a="1"/>
  <c r="EZ22" i="3" s="1"/>
  <c r="GZ22" i="3"/>
  <c r="HI22" i="3" s="1"/>
  <c r="FX22" i="3"/>
  <c r="EZ17" i="3" a="1"/>
  <c r="EZ17" i="3" s="1"/>
  <c r="FG22" i="3" a="1"/>
  <c r="FG22" i="3" s="1"/>
  <c r="FH22" i="3" a="1"/>
  <c r="FH22" i="3" s="1"/>
  <c r="FG20" i="3" a="1"/>
  <c r="FG20" i="3" s="1"/>
  <c r="ES20" i="3" a="1"/>
  <c r="ES20" i="3" s="1"/>
  <c r="FA20" i="3" a="1"/>
  <c r="FA20" i="3" s="1"/>
  <c r="EW20" i="3" a="1"/>
  <c r="EW20" i="3" s="1"/>
  <c r="FH20" i="3" a="1"/>
  <c r="FH20" i="3" s="1"/>
  <c r="FF20" i="3" a="1"/>
  <c r="FF20" i="3" s="1"/>
  <c r="FD20" i="3" a="1"/>
  <c r="FD20" i="3" s="1"/>
  <c r="EZ20" i="3" a="1"/>
  <c r="EZ20" i="3" s="1"/>
  <c r="FD17" i="3" a="1"/>
  <c r="FD17" i="3" s="1"/>
  <c r="FH17" i="3" a="1"/>
  <c r="FH17" i="3" s="1"/>
  <c r="EW17" i="3" a="1"/>
  <c r="EW17" i="3" s="1"/>
  <c r="FA17" i="3" a="1"/>
  <c r="FA17" i="3" s="1"/>
  <c r="ES17" i="3" a="1"/>
  <c r="ES17" i="3" s="1"/>
  <c r="FO10" i="3"/>
  <c r="GZ10" i="3" s="1"/>
  <c r="HI10" i="3" s="1"/>
  <c r="FO19" i="3"/>
  <c r="HP19" i="3"/>
  <c r="EP19" i="3"/>
  <c r="EP10" i="3"/>
  <c r="HM17" i="3"/>
  <c r="EN10" i="3"/>
  <c r="FH10" i="3" s="1" a="1"/>
  <c r="FH10" i="3" s="1"/>
  <c r="EH10" i="3"/>
  <c r="EM10" i="3" s="1"/>
  <c r="HR10" i="3" s="1"/>
  <c r="HP10" i="3"/>
  <c r="HL10" i="3"/>
  <c r="HL19" i="3"/>
  <c r="EH19" i="3"/>
  <c r="EM19" i="3" s="1"/>
  <c r="HR19" i="3" s="1"/>
  <c r="GC19" i="3"/>
  <c r="FX10" i="3" l="1"/>
  <c r="GQ22" i="3"/>
  <c r="ES19" i="3" a="1"/>
  <c r="ES19" i="3" s="1"/>
  <c r="FI17" i="3"/>
  <c r="GS22" i="3"/>
  <c r="GR17" i="3"/>
  <c r="FB22" i="3"/>
  <c r="EW19" i="3" a="1"/>
  <c r="EW19" i="3" s="1"/>
  <c r="FG19" i="3" a="1"/>
  <c r="FG19" i="3" s="1"/>
  <c r="EZ19" i="3" a="1"/>
  <c r="EZ19" i="3" s="1"/>
  <c r="FF19" i="3" a="1"/>
  <c r="FF19" i="3" s="1"/>
  <c r="FA19" i="3" a="1"/>
  <c r="FA19" i="3" s="1"/>
  <c r="FD19" i="3" a="1"/>
  <c r="FD19" i="3" s="1"/>
  <c r="GO22" i="3"/>
  <c r="GR22" i="3"/>
  <c r="FC22" i="3"/>
  <c r="FB17" i="3"/>
  <c r="FC17" i="3"/>
  <c r="GO20" i="3"/>
  <c r="FI22" i="3"/>
  <c r="GS17" i="3"/>
  <c r="GQ17" i="3"/>
  <c r="GO17" i="3"/>
  <c r="GS20" i="3"/>
  <c r="GR20" i="3"/>
  <c r="GQ20" i="3"/>
  <c r="FI20" i="3"/>
  <c r="FC20" i="3"/>
  <c r="FB20" i="3"/>
  <c r="FX19" i="3"/>
  <c r="GZ19" i="3"/>
  <c r="HI19" i="3" s="1"/>
  <c r="EW10" i="3" a="1"/>
  <c r="EW10" i="3" s="1"/>
  <c r="ES10" i="3" a="1"/>
  <c r="ES10" i="3" s="1"/>
  <c r="FA10" i="3" a="1"/>
  <c r="FA10" i="3" s="1"/>
  <c r="FG10" i="3" a="1"/>
  <c r="FG10" i="3" s="1"/>
  <c r="EZ10" i="3" a="1"/>
  <c r="EZ10" i="3" s="1"/>
  <c r="FD10" i="3" a="1"/>
  <c r="FD10" i="3" s="1"/>
  <c r="FF10" i="3" a="1"/>
  <c r="FF10" i="3" s="1"/>
  <c r="HM10" i="3"/>
  <c r="HM19" i="3"/>
  <c r="FJ17" i="3" l="1"/>
  <c r="FY17" i="3" s="1"/>
  <c r="GD17" i="3"/>
  <c r="GT22" i="3"/>
  <c r="FI19" i="3"/>
  <c r="GS19" i="3"/>
  <c r="FC19" i="3"/>
  <c r="GH22" i="3"/>
  <c r="GK22" i="3"/>
  <c r="GL22" i="3"/>
  <c r="GD22" i="3"/>
  <c r="GL17" i="3"/>
  <c r="GR19" i="3"/>
  <c r="FB19" i="3"/>
  <c r="GO19" i="3"/>
  <c r="GQ19" i="3"/>
  <c r="FJ22" i="3"/>
  <c r="FY22" i="3" s="1"/>
  <c r="FJ20" i="3"/>
  <c r="FY20" i="3" s="1"/>
  <c r="GT17" i="3"/>
  <c r="GH17" i="3"/>
  <c r="GK17" i="3"/>
  <c r="GT20" i="3"/>
  <c r="GL20" i="3"/>
  <c r="GD20" i="3"/>
  <c r="GK20" i="3"/>
  <c r="GH20" i="3"/>
  <c r="FC10" i="3"/>
  <c r="FB10" i="3"/>
  <c r="GS10" i="3"/>
  <c r="GR10" i="3"/>
  <c r="FI10" i="3"/>
  <c r="GQ10" i="3"/>
  <c r="GO10" i="3"/>
  <c r="GK19" i="3" l="1"/>
  <c r="FJ19" i="3"/>
  <c r="FY19" i="3" s="1"/>
  <c r="GN22" i="3"/>
  <c r="GU22" i="3" s="1"/>
  <c r="HJ22" i="3" s="1"/>
  <c r="GL19" i="3"/>
  <c r="GH19" i="3"/>
  <c r="GM22" i="3"/>
  <c r="GM17" i="3"/>
  <c r="GN17" i="3"/>
  <c r="GU17" i="3" s="1"/>
  <c r="HJ17" i="3" s="1"/>
  <c r="GD19" i="3"/>
  <c r="GT19" i="3"/>
  <c r="FJ10" i="3"/>
  <c r="FY10" i="3" s="1"/>
  <c r="GN20" i="3"/>
  <c r="GU20" i="3" s="1"/>
  <c r="HJ20" i="3" s="1"/>
  <c r="GM20" i="3"/>
  <c r="GL10" i="3"/>
  <c r="GT10" i="3"/>
  <c r="GH10" i="3"/>
  <c r="GK10" i="3"/>
  <c r="GD10" i="3"/>
  <c r="FW16" i="3"/>
  <c r="HH16" i="3" s="1"/>
  <c r="FV16" i="3"/>
  <c r="HG16" i="3" s="1"/>
  <c r="FU16" i="3"/>
  <c r="HF16" i="3" s="1"/>
  <c r="FT16" i="3"/>
  <c r="HE16" i="3" s="1"/>
  <c r="FS16" i="3"/>
  <c r="HD16" i="3" s="1"/>
  <c r="FR16" i="3"/>
  <c r="HC16" i="3" s="1"/>
  <c r="FQ16" i="3"/>
  <c r="HB16" i="3" s="1"/>
  <c r="FN16" i="3"/>
  <c r="GY16" i="3" s="1"/>
  <c r="FL16" i="3"/>
  <c r="GW16" i="3" s="1"/>
  <c r="FE16" i="3"/>
  <c r="EY16" i="3"/>
  <c r="GJ16" i="3" s="1"/>
  <c r="EX16" i="3"/>
  <c r="GI16" i="3" s="1"/>
  <c r="ET16" i="3"/>
  <c r="GE16" i="3" s="1"/>
  <c r="EL16" i="3"/>
  <c r="EK16" i="3"/>
  <c r="EJ16" i="3"/>
  <c r="EF16" i="3"/>
  <c r="FP16" i="3" s="1"/>
  <c r="HA16" i="3" s="1"/>
  <c r="DY16" i="3"/>
  <c r="DQ16" i="3"/>
  <c r="DL16" i="3"/>
  <c r="DF16" i="3"/>
  <c r="CS16" i="3"/>
  <c r="CR16" i="3"/>
  <c r="CQ16" i="3"/>
  <c r="EV16" i="3"/>
  <c r="GG16" i="3" s="1"/>
  <c r="EU16" i="3"/>
  <c r="GF16" i="3" s="1"/>
  <c r="M16" i="3"/>
  <c r="FW14" i="3"/>
  <c r="HH14" i="3" s="1"/>
  <c r="FV14" i="3"/>
  <c r="HG14" i="3" s="1"/>
  <c r="FU14" i="3"/>
  <c r="HF14" i="3" s="1"/>
  <c r="FT14" i="3"/>
  <c r="HE14" i="3" s="1"/>
  <c r="FS14" i="3"/>
  <c r="HD14" i="3" s="1"/>
  <c r="FR14" i="3"/>
  <c r="HC14" i="3" s="1"/>
  <c r="FQ14" i="3"/>
  <c r="HB14" i="3" s="1"/>
  <c r="FN14" i="3"/>
  <c r="GY14" i="3" s="1"/>
  <c r="FL14" i="3"/>
  <c r="GW14" i="3" s="1"/>
  <c r="FE14" i="3"/>
  <c r="GP14" i="3" s="1"/>
  <c r="EY14" i="3"/>
  <c r="GJ14" i="3" s="1"/>
  <c r="EX14" i="3"/>
  <c r="GI14" i="3" s="1"/>
  <c r="ET14" i="3"/>
  <c r="GE14" i="3" s="1"/>
  <c r="EL14" i="3"/>
  <c r="EK14" i="3"/>
  <c r="EJ14" i="3"/>
  <c r="EF14" i="3"/>
  <c r="FP14" i="3" s="1"/>
  <c r="HA14" i="3" s="1"/>
  <c r="DY14" i="3"/>
  <c r="DQ14" i="3"/>
  <c r="DL14" i="3"/>
  <c r="DF14" i="3"/>
  <c r="CZ14" i="3"/>
  <c r="CS14" i="3"/>
  <c r="CR14" i="3"/>
  <c r="CQ14" i="3"/>
  <c r="EU14" i="3"/>
  <c r="GF14" i="3" s="1"/>
  <c r="M14" i="3"/>
  <c r="O14" i="3"/>
  <c r="DA14" i="3"/>
  <c r="DG14" i="3" s="1"/>
  <c r="GM19" i="3" l="1"/>
  <c r="GN19" i="3"/>
  <c r="GU19" i="3" s="1"/>
  <c r="HJ19" i="3" s="1"/>
  <c r="GN10" i="3"/>
  <c r="GU10" i="3" s="1"/>
  <c r="HJ10" i="3" s="1"/>
  <c r="CH16" i="3"/>
  <c r="BI16" i="3"/>
  <c r="BE16" i="3"/>
  <c r="BA16" i="3"/>
  <c r="AW16" i="3"/>
  <c r="AS16" i="3"/>
  <c r="AK16" i="3"/>
  <c r="AG16" i="3"/>
  <c r="AC16" i="3"/>
  <c r="Y16" i="3"/>
  <c r="U16" i="3"/>
  <c r="Q16" i="3"/>
  <c r="BG16" i="3"/>
  <c r="AY16" i="3"/>
  <c r="AQ16" i="3"/>
  <c r="AM16" i="3"/>
  <c r="AE16" i="3"/>
  <c r="BC16" i="3"/>
  <c r="AU16" i="3"/>
  <c r="AI16" i="3"/>
  <c r="AA16" i="3"/>
  <c r="S16" i="3"/>
  <c r="CH14" i="3"/>
  <c r="BI14" i="3"/>
  <c r="BE14" i="3"/>
  <c r="BA14" i="3"/>
  <c r="AW14" i="3"/>
  <c r="AS14" i="3"/>
  <c r="AK14" i="3"/>
  <c r="AG14" i="3"/>
  <c r="AC14" i="3"/>
  <c r="Y14" i="3"/>
  <c r="U14" i="3"/>
  <c r="Q14" i="3"/>
  <c r="BG14" i="3"/>
  <c r="AY14" i="3"/>
  <c r="AQ14" i="3"/>
  <c r="AM14" i="3"/>
  <c r="AE14" i="3"/>
  <c r="AU14" i="3"/>
  <c r="AI14" i="3"/>
  <c r="BC14" i="3"/>
  <c r="AA14" i="3"/>
  <c r="S14" i="3"/>
  <c r="GM10" i="3"/>
  <c r="N14" i="3"/>
  <c r="FK16" i="3"/>
  <c r="GV16" i="3" s="1"/>
  <c r="FK14" i="3"/>
  <c r="GV14" i="3" s="1"/>
  <c r="N16" i="3"/>
  <c r="GP16" i="3"/>
  <c r="EQ14" i="3"/>
  <c r="EV14" i="3"/>
  <c r="GG14" i="3" s="1"/>
  <c r="DB14" i="3"/>
  <c r="DC14" i="3" s="1"/>
  <c r="EG14" i="3"/>
  <c r="AO14" i="3" l="1"/>
  <c r="AO16" i="3"/>
  <c r="W14" i="3"/>
  <c r="BK16" i="3"/>
  <c r="CL16" i="3"/>
  <c r="CJ16" i="3"/>
  <c r="HQ16" i="3" s="1"/>
  <c r="CL14" i="3"/>
  <c r="CJ14" i="3"/>
  <c r="HQ14" i="3" s="1"/>
  <c r="BK14" i="3"/>
  <c r="W16" i="3"/>
  <c r="ER16" i="3" s="1"/>
  <c r="GC16" i="3" s="1"/>
  <c r="FM14" i="3"/>
  <c r="GB14" i="3"/>
  <c r="CO14" i="3" l="1"/>
  <c r="CO16" i="3"/>
  <c r="FO16" i="3" s="1"/>
  <c r="GZ16" i="3" s="1"/>
  <c r="ER14" i="3"/>
  <c r="EI14" i="3"/>
  <c r="GX14" i="3"/>
  <c r="FO14" i="3" l="1"/>
  <c r="HP14" i="3"/>
  <c r="EP14" i="3"/>
  <c r="EN14" i="3"/>
  <c r="ES14" i="3" s="1" a="1"/>
  <c r="ES14" i="3" s="1"/>
  <c r="CP14" i="3"/>
  <c r="EH14" i="3" s="1"/>
  <c r="EM14" i="3" s="1"/>
  <c r="HR14" i="3" s="1"/>
  <c r="HP16" i="3"/>
  <c r="EP16" i="3"/>
  <c r="EN16" i="3"/>
  <c r="FH16" i="3" s="1" a="1"/>
  <c r="FH16" i="3" s="1"/>
  <c r="GC14" i="3"/>
  <c r="FF14" i="3" l="1" a="1"/>
  <c r="FF14" i="3" s="1"/>
  <c r="EW14" i="3" a="1"/>
  <c r="EW14" i="3" s="1"/>
  <c r="HL14" i="3"/>
  <c r="HM14" i="3" s="1"/>
  <c r="FA14" i="3" a="1"/>
  <c r="FA14" i="3" s="1"/>
  <c r="FH14" i="3" a="1"/>
  <c r="FH14" i="3" s="1"/>
  <c r="FD14" i="3" a="1"/>
  <c r="FD14" i="3" s="1"/>
  <c r="GZ14" i="3"/>
  <c r="HI14" i="3" s="1"/>
  <c r="FX14" i="3"/>
  <c r="FA16" i="3" a="1"/>
  <c r="FA16" i="3" s="1"/>
  <c r="FG14" i="3" a="1"/>
  <c r="FG14" i="3" s="1"/>
  <c r="EZ14" i="3" a="1"/>
  <c r="EZ14" i="3" s="1"/>
  <c r="FG16" i="3" a="1"/>
  <c r="FG16" i="3" s="1"/>
  <c r="EW16" i="3" a="1"/>
  <c r="EW16" i="3" s="1"/>
  <c r="ES16" i="3" a="1"/>
  <c r="ES16" i="3" s="1"/>
  <c r="EZ16" i="3" a="1"/>
  <c r="EZ16" i="3" s="1"/>
  <c r="FD16" i="3" a="1"/>
  <c r="FD16" i="3" s="1"/>
  <c r="FF16" i="3" a="1"/>
  <c r="FF16" i="3" s="1"/>
  <c r="FI14" i="3" l="1"/>
  <c r="FB14" i="3"/>
  <c r="GR14" i="3"/>
  <c r="GO14" i="3"/>
  <c r="GQ14" i="3"/>
  <c r="GS14" i="3"/>
  <c r="FC14" i="3"/>
  <c r="FJ14" i="3" s="1"/>
  <c r="FY14" i="3" s="1"/>
  <c r="FI16" i="3"/>
  <c r="FB16" i="3"/>
  <c r="GO16" i="3"/>
  <c r="GS16" i="3"/>
  <c r="GR16" i="3"/>
  <c r="FC16" i="3"/>
  <c r="GQ16" i="3"/>
  <c r="GD14" i="3" l="1"/>
  <c r="GL14" i="3"/>
  <c r="GK14" i="3"/>
  <c r="GT14" i="3"/>
  <c r="GH14" i="3"/>
  <c r="GT16" i="3"/>
  <c r="GH16" i="3"/>
  <c r="GK16" i="3"/>
  <c r="GL16" i="3"/>
  <c r="GD16" i="3"/>
  <c r="GM14" i="3" l="1"/>
  <c r="GN14" i="3"/>
  <c r="GU14" i="3" s="1"/>
  <c r="HJ14" i="3" s="1"/>
  <c r="GN16" i="3"/>
  <c r="GM16" i="3"/>
  <c r="DY9" i="3"/>
  <c r="DY11" i="3"/>
  <c r="DY12" i="3"/>
  <c r="DY18" i="3"/>
  <c r="DY21" i="3"/>
  <c r="DY15" i="3"/>
  <c r="DY23" i="3"/>
  <c r="DY13" i="3"/>
  <c r="DY24" i="3" l="1"/>
  <c r="CM9" i="3"/>
  <c r="CM24" i="3" s="1"/>
  <c r="DL13" i="3" l="1"/>
  <c r="DL23" i="3"/>
  <c r="DL15" i="3"/>
  <c r="DL21" i="3"/>
  <c r="DL18" i="3"/>
  <c r="DL12" i="3"/>
  <c r="DL11" i="3"/>
  <c r="DL9" i="3"/>
  <c r="CN9" i="3"/>
  <c r="CN24" i="3" s="1"/>
  <c r="BV9" i="3"/>
  <c r="BV24" i="3" s="1"/>
  <c r="BU9" i="3"/>
  <c r="BU24" i="3" s="1"/>
  <c r="BT9" i="3"/>
  <c r="BT24" i="3" s="1"/>
  <c r="BS9" i="3"/>
  <c r="BS24" i="3" s="1"/>
  <c r="BJ9" i="3"/>
  <c r="BJ24" i="3" s="1"/>
  <c r="AN9" i="3"/>
  <c r="AN24" i="3" s="1"/>
  <c r="V9" i="3"/>
  <c r="V24" i="3" s="1"/>
  <c r="DL24" i="3" l="1"/>
  <c r="FW21" i="3"/>
  <c r="HH21" i="3" s="1"/>
  <c r="FV21" i="3"/>
  <c r="HG21" i="3" s="1"/>
  <c r="FU21" i="3"/>
  <c r="HF21" i="3" s="1"/>
  <c r="FT21" i="3"/>
  <c r="HE21" i="3" s="1"/>
  <c r="FS21" i="3"/>
  <c r="HD21" i="3" s="1"/>
  <c r="FR21" i="3"/>
  <c r="HC21" i="3" s="1"/>
  <c r="FQ21" i="3"/>
  <c r="HB21" i="3" s="1"/>
  <c r="FN21" i="3"/>
  <c r="GY21" i="3" s="1"/>
  <c r="FL21" i="3"/>
  <c r="GW21" i="3" s="1"/>
  <c r="FE21" i="3"/>
  <c r="GP21" i="3" s="1"/>
  <c r="EY21" i="3"/>
  <c r="GJ21" i="3" s="1"/>
  <c r="EX21" i="3"/>
  <c r="GI21" i="3" s="1"/>
  <c r="ET21" i="3"/>
  <c r="GE21" i="3" s="1"/>
  <c r="EL21" i="3"/>
  <c r="EK21" i="3"/>
  <c r="EJ21" i="3"/>
  <c r="EF21" i="3"/>
  <c r="FP21" i="3" s="1"/>
  <c r="HA21" i="3" s="1"/>
  <c r="DQ21" i="3"/>
  <c r="DF21" i="3"/>
  <c r="DA21" i="3"/>
  <c r="DG21" i="3" s="1"/>
  <c r="CZ21" i="3"/>
  <c r="CS21" i="3"/>
  <c r="CR21" i="3"/>
  <c r="CQ21" i="3"/>
  <c r="EV21" i="3"/>
  <c r="GG21" i="3" s="1"/>
  <c r="EU21" i="3"/>
  <c r="GF21" i="3" s="1"/>
  <c r="M21" i="3"/>
  <c r="I21" i="3"/>
  <c r="O21" i="3" s="1"/>
  <c r="BG21" i="3" l="1"/>
  <c r="BC21" i="3"/>
  <c r="AY21" i="3"/>
  <c r="AU21" i="3"/>
  <c r="AQ21" i="3"/>
  <c r="AM21" i="3"/>
  <c r="AI21" i="3"/>
  <c r="AE21" i="3"/>
  <c r="AA21" i="3"/>
  <c r="S21" i="3"/>
  <c r="BE21" i="3"/>
  <c r="AW21" i="3"/>
  <c r="AG21" i="3"/>
  <c r="Y21" i="3"/>
  <c r="U21" i="3"/>
  <c r="CH21" i="3"/>
  <c r="BI21" i="3"/>
  <c r="AS21" i="3"/>
  <c r="AK21" i="3"/>
  <c r="BA21" i="3"/>
  <c r="AC21" i="3"/>
  <c r="Q21" i="3"/>
  <c r="DB21" i="3"/>
  <c r="DC21" i="3" s="1"/>
  <c r="FK21" i="3"/>
  <c r="GV21" i="3" s="1"/>
  <c r="EQ21" i="3"/>
  <c r="EG21" i="3"/>
  <c r="N21" i="3"/>
  <c r="W21" i="3" l="1"/>
  <c r="AO21" i="3"/>
  <c r="CJ21" i="3"/>
  <c r="HQ21" i="3" s="1"/>
  <c r="CL21" i="3"/>
  <c r="BK21" i="3"/>
  <c r="FM21" i="3"/>
  <c r="GX21" i="3" s="1"/>
  <c r="GB21" i="3"/>
  <c r="EF9" i="3"/>
  <c r="EF11" i="3"/>
  <c r="EF12" i="3"/>
  <c r="EF18" i="3"/>
  <c r="EF15" i="3"/>
  <c r="EF23" i="3"/>
  <c r="EF13" i="3"/>
  <c r="EF24" i="3" l="1"/>
  <c r="CO21" i="3"/>
  <c r="CP21" i="3" s="1"/>
  <c r="ER21" i="3"/>
  <c r="EI21" i="3"/>
  <c r="FW23" i="3"/>
  <c r="HH23" i="3" s="1"/>
  <c r="FV23" i="3"/>
  <c r="HG23" i="3" s="1"/>
  <c r="FU23" i="3"/>
  <c r="HF23" i="3" s="1"/>
  <c r="FT23" i="3"/>
  <c r="HE23" i="3" s="1"/>
  <c r="FS23" i="3"/>
  <c r="HD23" i="3" s="1"/>
  <c r="FR23" i="3"/>
  <c r="HC23" i="3" s="1"/>
  <c r="FQ23" i="3"/>
  <c r="HB23" i="3" s="1"/>
  <c r="FP23" i="3"/>
  <c r="HA23" i="3" s="1"/>
  <c r="FN23" i="3"/>
  <c r="GY23" i="3" s="1"/>
  <c r="FL23" i="3"/>
  <c r="GW23" i="3" s="1"/>
  <c r="FE23" i="3"/>
  <c r="GP23" i="3" s="1"/>
  <c r="EY23" i="3"/>
  <c r="GJ23" i="3" s="1"/>
  <c r="EX23" i="3"/>
  <c r="GI23" i="3" s="1"/>
  <c r="ET23" i="3"/>
  <c r="GE23" i="3" s="1"/>
  <c r="EL23" i="3"/>
  <c r="EK23" i="3"/>
  <c r="EJ23" i="3"/>
  <c r="DQ23" i="3"/>
  <c r="DF23" i="3"/>
  <c r="DA23" i="3"/>
  <c r="DG23" i="3" s="1"/>
  <c r="CZ23" i="3"/>
  <c r="CS23" i="3"/>
  <c r="CR23" i="3"/>
  <c r="CQ23" i="3"/>
  <c r="EU23" i="3"/>
  <c r="GF23" i="3" s="1"/>
  <c r="M23" i="3"/>
  <c r="I23" i="3"/>
  <c r="O23" i="3" s="1"/>
  <c r="BG23" i="3" l="1"/>
  <c r="BC23" i="3"/>
  <c r="AY23" i="3"/>
  <c r="AU23" i="3"/>
  <c r="AQ23" i="3"/>
  <c r="AM23" i="3"/>
  <c r="AI23" i="3"/>
  <c r="AE23" i="3"/>
  <c r="AA23" i="3"/>
  <c r="S23" i="3"/>
  <c r="CH23" i="3"/>
  <c r="BI23" i="3"/>
  <c r="BA23" i="3"/>
  <c r="AS23" i="3"/>
  <c r="AK23" i="3"/>
  <c r="AC23" i="3"/>
  <c r="Q23" i="3"/>
  <c r="BE23" i="3"/>
  <c r="AW23" i="3"/>
  <c r="AG23" i="3"/>
  <c r="Y23" i="3"/>
  <c r="U23" i="3"/>
  <c r="W23" i="3" s="1"/>
  <c r="FO21" i="3"/>
  <c r="FX21" i="3" s="1"/>
  <c r="EN21" i="3"/>
  <c r="EZ21" i="3" s="1" a="1"/>
  <c r="EZ21" i="3" s="1"/>
  <c r="EP21" i="3"/>
  <c r="HP21" i="3"/>
  <c r="DB23" i="3"/>
  <c r="FM23" i="3" s="1"/>
  <c r="GX23" i="3" s="1"/>
  <c r="HL21" i="3"/>
  <c r="EH21" i="3"/>
  <c r="EM21" i="3" s="1"/>
  <c r="HR21" i="3" s="1"/>
  <c r="GC21" i="3"/>
  <c r="EG23" i="3"/>
  <c r="N23" i="3"/>
  <c r="FK23" i="3"/>
  <c r="GV23" i="3" s="1"/>
  <c r="EV23" i="3"/>
  <c r="GG23" i="3" s="1"/>
  <c r="AO23" i="3" l="1"/>
  <c r="CJ23" i="3"/>
  <c r="HQ23" i="3" s="1"/>
  <c r="CL23" i="3"/>
  <c r="GZ21" i="3"/>
  <c r="HI21" i="3" s="1"/>
  <c r="BK23" i="3"/>
  <c r="EQ23" i="3"/>
  <c r="GB23" i="3" s="1"/>
  <c r="FF21" i="3" a="1"/>
  <c r="FF21" i="3" s="1"/>
  <c r="ES21" i="3" a="1"/>
  <c r="ES21" i="3" s="1"/>
  <c r="FA21" i="3" a="1"/>
  <c r="FA21" i="3" s="1"/>
  <c r="EW21" i="3" a="1"/>
  <c r="EW21" i="3" s="1"/>
  <c r="FH21" i="3" a="1"/>
  <c r="FH21" i="3" s="1"/>
  <c r="FD21" i="3" a="1"/>
  <c r="FD21" i="3" s="1"/>
  <c r="FG21" i="3" a="1"/>
  <c r="FG21" i="3" s="1"/>
  <c r="DC23" i="3"/>
  <c r="HM21" i="3"/>
  <c r="CQ15" i="3"/>
  <c r="CR15" i="3"/>
  <c r="CS15" i="3"/>
  <c r="CZ15" i="3"/>
  <c r="DF15" i="3"/>
  <c r="DQ15" i="3"/>
  <c r="FP15" i="3"/>
  <c r="HA15" i="3" s="1"/>
  <c r="EJ15" i="3"/>
  <c r="EK15" i="3"/>
  <c r="EL15" i="3"/>
  <c r="ET15" i="3"/>
  <c r="GE15" i="3" s="1"/>
  <c r="EX15" i="3"/>
  <c r="EY15" i="3"/>
  <c r="GJ15" i="3" s="1"/>
  <c r="FE15" i="3"/>
  <c r="GP15" i="3" s="1"/>
  <c r="FL15" i="3"/>
  <c r="GW15" i="3" s="1"/>
  <c r="FN15" i="3"/>
  <c r="GY15" i="3" s="1"/>
  <c r="FQ15" i="3"/>
  <c r="HB15" i="3" s="1"/>
  <c r="FR15" i="3"/>
  <c r="HC15" i="3" s="1"/>
  <c r="FS15" i="3"/>
  <c r="HD15" i="3" s="1"/>
  <c r="FT15" i="3"/>
  <c r="HE15" i="3" s="1"/>
  <c r="FU15" i="3"/>
  <c r="HF15" i="3" s="1"/>
  <c r="FV15" i="3"/>
  <c r="HG15" i="3" s="1"/>
  <c r="FW15" i="3"/>
  <c r="HH15" i="3" s="1"/>
  <c r="GI15" i="3"/>
  <c r="FI21" i="3" l="1"/>
  <c r="CO23" i="3"/>
  <c r="CP23" i="3" s="1"/>
  <c r="FB21" i="3"/>
  <c r="GO21" i="3"/>
  <c r="GQ21" i="3"/>
  <c r="FC21" i="3"/>
  <c r="GS21" i="3"/>
  <c r="GR21" i="3"/>
  <c r="EI23" i="3"/>
  <c r="ER23" i="3"/>
  <c r="GC23" i="3" s="1"/>
  <c r="FK15" i="3"/>
  <c r="GV15" i="3" s="1"/>
  <c r="FJ21" i="3" l="1"/>
  <c r="FY21" i="3" s="1"/>
  <c r="FO23" i="3"/>
  <c r="GZ23" i="3" s="1"/>
  <c r="HI23" i="3" s="1"/>
  <c r="GL21" i="3"/>
  <c r="GT21" i="3"/>
  <c r="GH21" i="3"/>
  <c r="GD21" i="3"/>
  <c r="EN23" i="3"/>
  <c r="ES23" i="3" s="1" a="1"/>
  <c r="ES23" i="3" s="1"/>
  <c r="HP23" i="3"/>
  <c r="GK21" i="3"/>
  <c r="EP23" i="3"/>
  <c r="FA23" i="3" l="1" a="1"/>
  <c r="FA23" i="3" s="1"/>
  <c r="FX23" i="3"/>
  <c r="HL23" i="3"/>
  <c r="EW23" i="3" a="1"/>
  <c r="EW23" i="3" s="1"/>
  <c r="EH23" i="3"/>
  <c r="FG23" i="3" a="1"/>
  <c r="FG23" i="3" s="1"/>
  <c r="FH23" i="3" a="1"/>
  <c r="FH23" i="3" s="1"/>
  <c r="GN21" i="3"/>
  <c r="GU21" i="3" s="1"/>
  <c r="HJ21" i="3" s="1"/>
  <c r="FD23" i="3" a="1"/>
  <c r="FD23" i="3" s="1"/>
  <c r="GM21" i="3"/>
  <c r="EZ23" i="3" a="1"/>
  <c r="EZ23" i="3" s="1"/>
  <c r="FF23" i="3" a="1"/>
  <c r="FF23" i="3" s="1"/>
  <c r="GS23" i="3" l="1"/>
  <c r="EM23" i="3"/>
  <c r="HR23" i="3" s="1"/>
  <c r="GR23" i="3"/>
  <c r="GO23" i="3"/>
  <c r="FC23" i="3"/>
  <c r="FB23" i="3"/>
  <c r="GQ23" i="3"/>
  <c r="FI23" i="3"/>
  <c r="GT23" i="3" l="1"/>
  <c r="HM23" i="3"/>
  <c r="GK23" i="3"/>
  <c r="FJ23" i="3"/>
  <c r="FY23" i="3" s="1"/>
  <c r="GD23" i="3"/>
  <c r="GL23" i="3"/>
  <c r="GH23" i="3"/>
  <c r="GM23" i="3" l="1"/>
  <c r="GN23" i="3"/>
  <c r="GU23" i="3" s="1"/>
  <c r="HJ23" i="3" s="1"/>
  <c r="FW18" i="3" l="1"/>
  <c r="HH18" i="3" s="1"/>
  <c r="FV18" i="3"/>
  <c r="HG18" i="3" s="1"/>
  <c r="FU18" i="3"/>
  <c r="HF18" i="3" s="1"/>
  <c r="FT18" i="3"/>
  <c r="HE18" i="3" s="1"/>
  <c r="FS18" i="3"/>
  <c r="HD18" i="3" s="1"/>
  <c r="FR18" i="3"/>
  <c r="HC18" i="3" s="1"/>
  <c r="FQ18" i="3"/>
  <c r="HB18" i="3" s="1"/>
  <c r="FN18" i="3"/>
  <c r="GY18" i="3" s="1"/>
  <c r="FL18" i="3"/>
  <c r="GW18" i="3" s="1"/>
  <c r="FE18" i="3"/>
  <c r="EY18" i="3"/>
  <c r="GJ18" i="3" s="1"/>
  <c r="EX18" i="3"/>
  <c r="GI18" i="3" s="1"/>
  <c r="ET18" i="3"/>
  <c r="GE18" i="3" s="1"/>
  <c r="EL18" i="3"/>
  <c r="EK18" i="3"/>
  <c r="EJ18" i="3"/>
  <c r="FP18" i="3"/>
  <c r="HA18" i="3" s="1"/>
  <c r="DQ18" i="3"/>
  <c r="DF18" i="3"/>
  <c r="DA18" i="3"/>
  <c r="DG18" i="3" s="1"/>
  <c r="CZ18" i="3"/>
  <c r="CS18" i="3"/>
  <c r="CR18" i="3"/>
  <c r="CQ18" i="3"/>
  <c r="EV18" i="3"/>
  <c r="GG18" i="3" s="1"/>
  <c r="EU18" i="3"/>
  <c r="GF18" i="3" s="1"/>
  <c r="M18" i="3"/>
  <c r="I18" i="3"/>
  <c r="O18" i="3" s="1"/>
  <c r="BG18" i="3" l="1"/>
  <c r="BC18" i="3"/>
  <c r="AY18" i="3"/>
  <c r="AU18" i="3"/>
  <c r="AQ18" i="3"/>
  <c r="AM18" i="3"/>
  <c r="AI18" i="3"/>
  <c r="AE18" i="3"/>
  <c r="AA18" i="3"/>
  <c r="S18" i="3"/>
  <c r="CH18" i="3"/>
  <c r="BI18" i="3"/>
  <c r="BA18" i="3"/>
  <c r="AS18" i="3"/>
  <c r="AK18" i="3"/>
  <c r="AC18" i="3"/>
  <c r="Q18" i="3"/>
  <c r="BE18" i="3"/>
  <c r="Y18" i="3"/>
  <c r="U18" i="3"/>
  <c r="AW18" i="3"/>
  <c r="AG18" i="3"/>
  <c r="EQ18" i="3"/>
  <c r="GB18" i="3" s="1"/>
  <c r="DB18" i="3"/>
  <c r="DC18" i="3" s="1"/>
  <c r="N18" i="3"/>
  <c r="FK18" i="3"/>
  <c r="GV18" i="3" s="1"/>
  <c r="GP18" i="3"/>
  <c r="EG18" i="3"/>
  <c r="W18" i="3" l="1"/>
  <c r="CJ18" i="3"/>
  <c r="HQ18" i="3" s="1"/>
  <c r="CL18" i="3"/>
  <c r="AO18" i="3"/>
  <c r="BK18" i="3"/>
  <c r="FM18" i="3"/>
  <c r="GX18" i="3" s="1"/>
  <c r="CO18" i="3" l="1"/>
  <c r="CP18" i="3" s="1"/>
  <c r="EI18" i="3"/>
  <c r="ER18" i="3"/>
  <c r="GC18" i="3" s="1"/>
  <c r="HP18" i="3" l="1"/>
  <c r="EP18" i="3"/>
  <c r="FO18" i="3"/>
  <c r="GZ18" i="3" s="1"/>
  <c r="HI18" i="3" s="1"/>
  <c r="EN18" i="3"/>
  <c r="ES18" i="3" s="1" a="1"/>
  <c r="ES18" i="3" s="1"/>
  <c r="EH18" i="3"/>
  <c r="FD18" i="3" l="1" a="1"/>
  <c r="FD18" i="3" s="1"/>
  <c r="EM18" i="3"/>
  <c r="HR18" i="3" s="1"/>
  <c r="FF18" i="3" a="1"/>
  <c r="FF18" i="3" s="1"/>
  <c r="EZ18" i="3" a="1"/>
  <c r="EZ18" i="3" s="1"/>
  <c r="FX18" i="3"/>
  <c r="HL18" i="3"/>
  <c r="FH18" i="3" a="1"/>
  <c r="FH18" i="3" s="1"/>
  <c r="FG18" i="3" a="1"/>
  <c r="FG18" i="3" s="1"/>
  <c r="EW18" i="3" a="1"/>
  <c r="EW18" i="3" s="1"/>
  <c r="FA18" i="3" a="1"/>
  <c r="FA18" i="3" s="1"/>
  <c r="HM18" i="3" l="1"/>
  <c r="FI18" i="3"/>
  <c r="GS18" i="3"/>
  <c r="GO18" i="3"/>
  <c r="FB18" i="3"/>
  <c r="GR18" i="3"/>
  <c r="FC18" i="3"/>
  <c r="GQ18" i="3"/>
  <c r="FJ18" i="3" l="1"/>
  <c r="FY18" i="3" s="1"/>
  <c r="GT18" i="3"/>
  <c r="GL18" i="3"/>
  <c r="GD18" i="3"/>
  <c r="GH18" i="3"/>
  <c r="GK18" i="3"/>
  <c r="DA9" i="3"/>
  <c r="DG9" i="3" s="1"/>
  <c r="DA11" i="3"/>
  <c r="DG11" i="3" s="1"/>
  <c r="DA12" i="3"/>
  <c r="DG12" i="3" s="1"/>
  <c r="DA13" i="3"/>
  <c r="DG13" i="3" s="1"/>
  <c r="GN18" i="3" l="1"/>
  <c r="GU18" i="3" s="1"/>
  <c r="HJ18" i="3" s="1"/>
  <c r="GM18" i="3"/>
  <c r="DB13" i="3"/>
  <c r="DB11" i="3"/>
  <c r="DB9" i="3"/>
  <c r="DB12" i="3"/>
  <c r="I13" i="3" l="1"/>
  <c r="M13" i="3"/>
  <c r="EU13" i="3"/>
  <c r="EV13" i="3"/>
  <c r="GG13" i="3" s="1"/>
  <c r="CQ13" i="3"/>
  <c r="CR13" i="3"/>
  <c r="CS13" i="3"/>
  <c r="CZ13" i="3"/>
  <c r="DC13" i="3"/>
  <c r="DF13" i="3"/>
  <c r="DQ13" i="3"/>
  <c r="FP13" i="3"/>
  <c r="HA13" i="3" s="1"/>
  <c r="EJ13" i="3"/>
  <c r="EK13" i="3"/>
  <c r="EL13" i="3"/>
  <c r="ET13" i="3"/>
  <c r="GE13" i="3" s="1"/>
  <c r="EX13" i="3"/>
  <c r="GI13" i="3" s="1"/>
  <c r="EY13" i="3"/>
  <c r="GJ13" i="3" s="1"/>
  <c r="FE13" i="3"/>
  <c r="GP13" i="3" s="1"/>
  <c r="FL13" i="3"/>
  <c r="GW13" i="3" s="1"/>
  <c r="FM13" i="3"/>
  <c r="GX13" i="3" s="1"/>
  <c r="FN13" i="3"/>
  <c r="GY13" i="3" s="1"/>
  <c r="FQ13" i="3"/>
  <c r="HB13" i="3" s="1"/>
  <c r="FR13" i="3"/>
  <c r="HC13" i="3" s="1"/>
  <c r="FS13" i="3"/>
  <c r="HD13" i="3" s="1"/>
  <c r="FT13" i="3"/>
  <c r="HE13" i="3" s="1"/>
  <c r="FU13" i="3"/>
  <c r="HF13" i="3" s="1"/>
  <c r="FV13" i="3"/>
  <c r="HG13" i="3" s="1"/>
  <c r="FW13" i="3"/>
  <c r="HH13" i="3" s="1"/>
  <c r="CH13" i="3" l="1"/>
  <c r="BI13" i="3"/>
  <c r="BE13" i="3"/>
  <c r="BA13" i="3"/>
  <c r="AW13" i="3"/>
  <c r="AS13" i="3"/>
  <c r="AK13" i="3"/>
  <c r="AG13" i="3"/>
  <c r="AC13" i="3"/>
  <c r="Y13" i="3"/>
  <c r="U13" i="3"/>
  <c r="Q13" i="3"/>
  <c r="BC13" i="3"/>
  <c r="AU13" i="3"/>
  <c r="AI13" i="3"/>
  <c r="AA13" i="3"/>
  <c r="S13" i="3"/>
  <c r="AY13" i="3"/>
  <c r="AE13" i="3"/>
  <c r="BG13" i="3"/>
  <c r="AQ13" i="3"/>
  <c r="AM13" i="3"/>
  <c r="O13" i="3"/>
  <c r="FK13" i="3"/>
  <c r="GV13" i="3" s="1"/>
  <c r="EG13" i="3"/>
  <c r="GF13" i="3"/>
  <c r="N13" i="3"/>
  <c r="AO13" i="3" l="1"/>
  <c r="BK13" i="3"/>
  <c r="CL13" i="3"/>
  <c r="CJ13" i="3"/>
  <c r="EQ13" i="3"/>
  <c r="GB13" i="3" s="1"/>
  <c r="W13" i="3"/>
  <c r="CO13" i="3" l="1"/>
  <c r="HQ13" i="3"/>
  <c r="CP13" i="3"/>
  <c r="HL13" i="3" s="1"/>
  <c r="EI13" i="3"/>
  <c r="ER13" i="3"/>
  <c r="GC13" i="3" s="1"/>
  <c r="HP13" i="3"/>
  <c r="EP13" i="3"/>
  <c r="EN13" i="3"/>
  <c r="EZ13" i="3" s="1" a="1"/>
  <c r="EZ13" i="3" s="1"/>
  <c r="FO13" i="3"/>
  <c r="FX13" i="3" s="1"/>
  <c r="EH13" i="3" l="1"/>
  <c r="FA13" i="3" a="1"/>
  <c r="FA13" i="3" s="1"/>
  <c r="GZ13" i="3"/>
  <c r="HI13" i="3" s="1"/>
  <c r="EW13" i="3" a="1"/>
  <c r="EW13" i="3" s="1"/>
  <c r="FG13" i="3" a="1"/>
  <c r="FG13" i="3" s="1"/>
  <c r="FH13" i="3" a="1"/>
  <c r="FH13" i="3" s="1"/>
  <c r="ES13" i="3" a="1"/>
  <c r="ES13" i="3" s="1"/>
  <c r="FF13" i="3" a="1"/>
  <c r="FF13" i="3" s="1"/>
  <c r="FD13" i="3" a="1"/>
  <c r="FD13" i="3" s="1"/>
  <c r="EM13" i="3" l="1"/>
  <c r="HR13" i="3" s="1"/>
  <c r="FC13" i="3"/>
  <c r="FB13" i="3"/>
  <c r="GQ13" i="3"/>
  <c r="GS13" i="3"/>
  <c r="GO13" i="3"/>
  <c r="GR13" i="3"/>
  <c r="FI13" i="3"/>
  <c r="HM13" i="3" l="1"/>
  <c r="FJ13" i="3"/>
  <c r="FY13" i="3" s="1"/>
  <c r="GL13" i="3"/>
  <c r="GK13" i="3"/>
  <c r="GT13" i="3"/>
  <c r="GD13" i="3"/>
  <c r="GH13" i="3"/>
  <c r="GN13" i="3" l="1"/>
  <c r="GU13" i="3" s="1"/>
  <c r="HJ13" i="3" s="1"/>
  <c r="GM13" i="3"/>
  <c r="DF9" i="3"/>
  <c r="DF11" i="3"/>
  <c r="DF12" i="3"/>
  <c r="DC9" i="3"/>
  <c r="DC11" i="3"/>
  <c r="DC12" i="3"/>
  <c r="CZ9" i="3"/>
  <c r="CZ11" i="3"/>
  <c r="CZ12" i="3"/>
  <c r="CZ24" i="3" l="1"/>
  <c r="DF24" i="3"/>
  <c r="EB26" i="3"/>
  <c r="EC26" i="3"/>
  <c r="M12" i="3" l="1"/>
  <c r="I12" i="3"/>
  <c r="O12" i="3" s="1"/>
  <c r="M11" i="3"/>
  <c r="S11" i="3" s="1"/>
  <c r="I11" i="3"/>
  <c r="O11" i="3" s="1"/>
  <c r="M9" i="3"/>
  <c r="I9" i="3"/>
  <c r="AW9" i="3" l="1"/>
  <c r="CH11" i="3"/>
  <c r="BI11" i="3"/>
  <c r="BE11" i="3"/>
  <c r="BA11" i="3"/>
  <c r="AW11" i="3"/>
  <c r="AS11" i="3"/>
  <c r="AK11" i="3"/>
  <c r="AG11" i="3"/>
  <c r="AC11" i="3"/>
  <c r="Y11" i="3"/>
  <c r="U11" i="3"/>
  <c r="Q11" i="3"/>
  <c r="BC11" i="3"/>
  <c r="AU11" i="3"/>
  <c r="AI11" i="3"/>
  <c r="AA11" i="3"/>
  <c r="BG11" i="3"/>
  <c r="AQ11" i="3"/>
  <c r="AM11" i="3"/>
  <c r="AY11" i="3"/>
  <c r="AE11" i="3"/>
  <c r="CH12" i="3"/>
  <c r="BI12" i="3"/>
  <c r="BE12" i="3"/>
  <c r="BA12" i="3"/>
  <c r="AW12" i="3"/>
  <c r="AS12" i="3"/>
  <c r="AK12" i="3"/>
  <c r="AG12" i="3"/>
  <c r="AC12" i="3"/>
  <c r="Y12" i="3"/>
  <c r="U12" i="3"/>
  <c r="Q12" i="3"/>
  <c r="BG12" i="3"/>
  <c r="AY12" i="3"/>
  <c r="AQ12" i="3"/>
  <c r="AM12" i="3"/>
  <c r="AE12" i="3"/>
  <c r="BC12" i="3"/>
  <c r="AA12" i="3"/>
  <c r="S12" i="3"/>
  <c r="AU12" i="3"/>
  <c r="AI12" i="3"/>
  <c r="O9" i="3"/>
  <c r="N9" i="3"/>
  <c r="CH9" i="3"/>
  <c r="BI9" i="3"/>
  <c r="BE9" i="3"/>
  <c r="BA9" i="3"/>
  <c r="AS9" i="3"/>
  <c r="AK9" i="3"/>
  <c r="AG9" i="3"/>
  <c r="AC9" i="3"/>
  <c r="Y9" i="3"/>
  <c r="U9" i="3"/>
  <c r="Q9" i="3"/>
  <c r="BG9" i="3"/>
  <c r="BC9" i="3"/>
  <c r="AY9" i="3"/>
  <c r="AU9" i="3"/>
  <c r="AQ9" i="3"/>
  <c r="AM9" i="3"/>
  <c r="AI9" i="3"/>
  <c r="AE9" i="3"/>
  <c r="AA9" i="3"/>
  <c r="S9" i="3"/>
  <c r="N11" i="3"/>
  <c r="N12" i="3"/>
  <c r="CL11" i="3" l="1"/>
  <c r="CJ11" i="3"/>
  <c r="HQ11" i="3" s="1"/>
  <c r="BK12" i="3"/>
  <c r="AO11" i="3"/>
  <c r="BK11" i="3"/>
  <c r="CL12" i="3"/>
  <c r="CJ12" i="3"/>
  <c r="HQ12" i="3" s="1"/>
  <c r="AO12" i="3"/>
  <c r="W12" i="3"/>
  <c r="W11" i="3"/>
  <c r="BK9" i="3"/>
  <c r="AO9" i="3"/>
  <c r="W9" i="3"/>
  <c r="CL9" i="3"/>
  <c r="CJ9" i="3"/>
  <c r="HQ9" i="3" s="1"/>
  <c r="ET24" i="3"/>
  <c r="GE24" i="3" s="1"/>
  <c r="EX24" i="3"/>
  <c r="GI24" i="3" s="1"/>
  <c r="EY24" i="3"/>
  <c r="GJ24" i="3" s="1"/>
  <c r="FE24" i="3"/>
  <c r="FL24" i="3"/>
  <c r="GW24" i="3" s="1"/>
  <c r="FQ24" i="3"/>
  <c r="HB24" i="3" s="1"/>
  <c r="FR24" i="3"/>
  <c r="HC24" i="3" s="1"/>
  <c r="FS24" i="3"/>
  <c r="HD24" i="3" s="1"/>
  <c r="FT24" i="3"/>
  <c r="HE24" i="3" s="1"/>
  <c r="FU24" i="3"/>
  <c r="HF24" i="3" s="1"/>
  <c r="FV24" i="3"/>
  <c r="HG24" i="3" s="1"/>
  <c r="FW24" i="3"/>
  <c r="HH24" i="3" s="1"/>
  <c r="CO11" i="3" l="1"/>
  <c r="CP11" i="3" s="1"/>
  <c r="CO12" i="3"/>
  <c r="CP12" i="3" s="1"/>
  <c r="CO9" i="3"/>
  <c r="GP24" i="3"/>
  <c r="CP9" i="3" l="1"/>
  <c r="FN24" i="3"/>
  <c r="GY24" i="3" s="1"/>
  <c r="FW11" i="3" l="1"/>
  <c r="HH11" i="3" s="1"/>
  <c r="FV11" i="3"/>
  <c r="HG11" i="3" s="1"/>
  <c r="FU11" i="3"/>
  <c r="HF11" i="3" s="1"/>
  <c r="FT11" i="3"/>
  <c r="HE11" i="3" s="1"/>
  <c r="FS11" i="3"/>
  <c r="HD11" i="3" s="1"/>
  <c r="FR11" i="3"/>
  <c r="HC11" i="3" s="1"/>
  <c r="FQ11" i="3"/>
  <c r="HB11" i="3" s="1"/>
  <c r="FE11" i="3"/>
  <c r="GP11" i="3" s="1"/>
  <c r="EY11" i="3"/>
  <c r="GJ11" i="3" s="1"/>
  <c r="EX11" i="3"/>
  <c r="GI11" i="3" s="1"/>
  <c r="ET11" i="3"/>
  <c r="GE11" i="3" s="1"/>
  <c r="EL11" i="3"/>
  <c r="EK11" i="3"/>
  <c r="EJ11" i="3"/>
  <c r="FP11" i="3"/>
  <c r="HA11" i="3" s="1"/>
  <c r="DQ11" i="3"/>
  <c r="CS11" i="3"/>
  <c r="CR11" i="3"/>
  <c r="CQ11" i="3"/>
  <c r="EU11" i="3"/>
  <c r="GF11" i="3" s="1"/>
  <c r="EV11" i="3" l="1"/>
  <c r="GG11" i="3" s="1"/>
  <c r="FM11" i="3"/>
  <c r="GX11" i="3" s="1"/>
  <c r="FK11" i="3"/>
  <c r="GV11" i="3" s="1"/>
  <c r="EQ11" i="3"/>
  <c r="GB11" i="3" l="1"/>
  <c r="FN11" i="3"/>
  <c r="EG11" i="3" l="1"/>
  <c r="FL11" i="3"/>
  <c r="GW11" i="3" s="1"/>
  <c r="ER11" i="3"/>
  <c r="GC11" i="3" s="1"/>
  <c r="EN11" i="3"/>
  <c r="GY11" i="3"/>
  <c r="EP11" i="3" l="1"/>
  <c r="HP11" i="3"/>
  <c r="EI11" i="3"/>
  <c r="EZ11" i="3" a="1"/>
  <c r="EZ11" i="3" s="1"/>
  <c r="FO11" i="3"/>
  <c r="GZ11" i="3" s="1"/>
  <c r="HI11" i="3" s="1"/>
  <c r="HL11" i="3"/>
  <c r="FG11" i="3" l="1" a="1"/>
  <c r="FG11" i="3" s="1"/>
  <c r="FA11" i="3" a="1"/>
  <c r="FA11" i="3" s="1"/>
  <c r="ES11" i="3" a="1"/>
  <c r="ES11" i="3" s="1"/>
  <c r="FF11" i="3" a="1"/>
  <c r="FF11" i="3" s="1"/>
  <c r="FH11" i="3" a="1"/>
  <c r="FH11" i="3" s="1"/>
  <c r="EW11" i="3" a="1"/>
  <c r="EW11" i="3" s="1"/>
  <c r="FD11" i="3" a="1"/>
  <c r="FD11" i="3" s="1"/>
  <c r="EH11" i="3"/>
  <c r="FX11" i="3"/>
  <c r="EM11" i="3" l="1"/>
  <c r="HR11" i="3" s="1"/>
  <c r="FI11" i="3"/>
  <c r="GQ11" i="3"/>
  <c r="GS11" i="3"/>
  <c r="GR11" i="3"/>
  <c r="GO11" i="3"/>
  <c r="FB11" i="3"/>
  <c r="FC11" i="3"/>
  <c r="HM11" i="3" l="1"/>
  <c r="FJ11" i="3"/>
  <c r="FY11" i="3" s="1"/>
  <c r="GT11" i="3"/>
  <c r="GD11" i="3"/>
  <c r="GH11" i="3"/>
  <c r="GK11" i="3"/>
  <c r="GL11" i="3"/>
  <c r="GM11" i="3" l="1"/>
  <c r="GN11" i="3"/>
  <c r="GU11" i="3" s="1"/>
  <c r="HJ11" i="3" s="1"/>
  <c r="FP24" i="3" l="1"/>
  <c r="HA24" i="3" s="1"/>
  <c r="FW12" i="3" l="1"/>
  <c r="HH12" i="3" s="1"/>
  <c r="FV12" i="3"/>
  <c r="HG12" i="3" s="1"/>
  <c r="FU12" i="3"/>
  <c r="HF12" i="3" s="1"/>
  <c r="FT12" i="3"/>
  <c r="HE12" i="3" s="1"/>
  <c r="FS12" i="3"/>
  <c r="HD12" i="3" s="1"/>
  <c r="FR12" i="3"/>
  <c r="HC12" i="3" s="1"/>
  <c r="FQ12" i="3"/>
  <c r="HB12" i="3" s="1"/>
  <c r="FP12" i="3"/>
  <c r="HA12" i="3" s="1"/>
  <c r="FE12" i="3"/>
  <c r="GP12" i="3" s="1"/>
  <c r="EY12" i="3"/>
  <c r="GJ12" i="3" s="1"/>
  <c r="EX12" i="3"/>
  <c r="GI12" i="3" s="1"/>
  <c r="ET12" i="3"/>
  <c r="GE12" i="3" s="1"/>
  <c r="EL12" i="3"/>
  <c r="EK12" i="3"/>
  <c r="EJ12" i="3"/>
  <c r="DQ12" i="3"/>
  <c r="CS12" i="3"/>
  <c r="CR12" i="3"/>
  <c r="CQ12" i="3"/>
  <c r="EV12" i="3" l="1"/>
  <c r="GG12" i="3" s="1"/>
  <c r="EU12" i="3"/>
  <c r="GF12" i="3" s="1"/>
  <c r="FK12" i="3"/>
  <c r="GV12" i="3" s="1"/>
  <c r="EQ12" i="3" l="1"/>
  <c r="GB12" i="3" s="1"/>
  <c r="FM12" i="3"/>
  <c r="GX12" i="3" s="1"/>
  <c r="FN12" i="3" l="1"/>
  <c r="GY12" i="3" s="1"/>
  <c r="HP12" i="3"/>
  <c r="ER12" i="3"/>
  <c r="GC12" i="3" s="1"/>
  <c r="FL12" i="3"/>
  <c r="GW12" i="3" s="1"/>
  <c r="EN12" i="3" l="1"/>
  <c r="EZ12" i="3" s="1" a="1"/>
  <c r="EZ12" i="3" s="1"/>
  <c r="EP12" i="3"/>
  <c r="FO12" i="3"/>
  <c r="GZ12" i="3" s="1"/>
  <c r="HI12" i="3" s="1"/>
  <c r="FF12" i="3" l="1" a="1"/>
  <c r="FF12" i="3" s="1"/>
  <c r="ES12" i="3" a="1"/>
  <c r="ES12" i="3" s="1"/>
  <c r="FX12" i="3"/>
  <c r="EW12" i="3" a="1"/>
  <c r="EW12" i="3" s="1"/>
  <c r="FG12" i="3" a="1"/>
  <c r="FG12" i="3" s="1"/>
  <c r="FA12" i="3" a="1"/>
  <c r="FA12" i="3" s="1"/>
  <c r="FD12" i="3" a="1"/>
  <c r="FD12" i="3" s="1"/>
  <c r="FH12" i="3" a="1"/>
  <c r="FH12" i="3" s="1"/>
  <c r="FI12" i="3" l="1"/>
  <c r="GS12" i="3"/>
  <c r="GR12" i="3"/>
  <c r="GO12" i="3"/>
  <c r="FB12" i="3"/>
  <c r="FC12" i="3"/>
  <c r="GQ12" i="3"/>
  <c r="GT12" i="3" l="1"/>
  <c r="FJ12" i="3"/>
  <c r="FY12" i="3" s="1"/>
  <c r="GD12" i="3"/>
  <c r="GK12" i="3"/>
  <c r="GL12" i="3"/>
  <c r="GH12" i="3"/>
  <c r="GM12" i="3" l="1"/>
  <c r="GN12" i="3"/>
  <c r="GU12" i="3" s="1"/>
  <c r="HJ12" i="3" s="1"/>
  <c r="DO9" i="1" l="1"/>
  <c r="DQ9" i="3"/>
  <c r="DQ24" i="3" s="1"/>
  <c r="FW9" i="3" l="1"/>
  <c r="HH9" i="3" s="1"/>
  <c r="FV9" i="3"/>
  <c r="HG9" i="3" s="1"/>
  <c r="FU9" i="3"/>
  <c r="HF9" i="3" s="1"/>
  <c r="FT9" i="3"/>
  <c r="HE9" i="3" s="1"/>
  <c r="FS9" i="3"/>
  <c r="HD9" i="3" s="1"/>
  <c r="FR9" i="3"/>
  <c r="HC9" i="3" s="1"/>
  <c r="FQ9" i="3"/>
  <c r="HB9" i="3" s="1"/>
  <c r="FP9" i="3"/>
  <c r="HA9" i="3" s="1"/>
  <c r="FE9" i="3"/>
  <c r="GP9" i="3" s="1"/>
  <c r="EY9" i="3"/>
  <c r="GJ9" i="3" s="1"/>
  <c r="EX9" i="3"/>
  <c r="GI9" i="3" s="1"/>
  <c r="ET9" i="3"/>
  <c r="GE9" i="3" s="1"/>
  <c r="EL9" i="3"/>
  <c r="EL24" i="3" s="1"/>
  <c r="EK9" i="3"/>
  <c r="EK24" i="3" s="1"/>
  <c r="EJ9" i="3"/>
  <c r="EJ24" i="3" s="1"/>
  <c r="CS9" i="3"/>
  <c r="CS24" i="3" s="1"/>
  <c r="CR9" i="3"/>
  <c r="CR24" i="3" s="1"/>
  <c r="CQ9" i="3"/>
  <c r="CQ24" i="3" s="1"/>
  <c r="FH20" i="1"/>
  <c r="GS20" i="1" s="1"/>
  <c r="FG20" i="1"/>
  <c r="GR20" i="1" s="1"/>
  <c r="FF20" i="1"/>
  <c r="GQ20" i="1" s="1"/>
  <c r="FE20" i="1"/>
  <c r="GP20" i="1" s="1"/>
  <c r="FD20" i="1"/>
  <c r="GO20" i="1" s="1"/>
  <c r="FC20" i="1"/>
  <c r="GN20" i="1" s="1"/>
  <c r="FB20" i="1"/>
  <c r="GM20" i="1" s="1"/>
  <c r="FA20" i="1"/>
  <c r="GL20" i="1" s="1"/>
  <c r="EP20" i="1"/>
  <c r="GA20" i="1" s="1"/>
  <c r="EJ20" i="1"/>
  <c r="FU20" i="1" s="1"/>
  <c r="EI20" i="1"/>
  <c r="FT20" i="1" s="1"/>
  <c r="EE20" i="1"/>
  <c r="FP20" i="1" s="1"/>
  <c r="DX20" i="1"/>
  <c r="DW20" i="1"/>
  <c r="DV20" i="1"/>
  <c r="DO20" i="1"/>
  <c r="DH20" i="1"/>
  <c r="DC20" i="1"/>
  <c r="CM20" i="1"/>
  <c r="CL20" i="1"/>
  <c r="CK20" i="1"/>
  <c r="CI20" i="1"/>
  <c r="BR20" i="1"/>
  <c r="EG20" i="1" s="1"/>
  <c r="FR20" i="1" s="1"/>
  <c r="BQ20" i="1"/>
  <c r="EF20" i="1" s="1"/>
  <c r="FQ20" i="1" s="1"/>
  <c r="BJ20" i="1"/>
  <c r="BP20" i="1" s="1"/>
  <c r="BI20" i="1"/>
  <c r="BO20" i="1" s="1"/>
  <c r="BF20" i="1"/>
  <c r="AL20" i="1"/>
  <c r="T20" i="1"/>
  <c r="K20" i="1"/>
  <c r="AW20" i="1" s="1"/>
  <c r="H20" i="1"/>
  <c r="M20" i="1" s="1"/>
  <c r="A20" i="1"/>
  <c r="FH19" i="1"/>
  <c r="GS19" i="1" s="1"/>
  <c r="FG19" i="1"/>
  <c r="GR19" i="1" s="1"/>
  <c r="FF19" i="1"/>
  <c r="GQ19" i="1" s="1"/>
  <c r="FE19" i="1"/>
  <c r="GP19" i="1" s="1"/>
  <c r="FD19" i="1"/>
  <c r="GO19" i="1" s="1"/>
  <c r="FC19" i="1"/>
  <c r="GN19" i="1" s="1"/>
  <c r="FB19" i="1"/>
  <c r="GM19" i="1" s="1"/>
  <c r="FA19" i="1"/>
  <c r="GL19" i="1" s="1"/>
  <c r="EP19" i="1"/>
  <c r="GA19" i="1" s="1"/>
  <c r="EJ19" i="1"/>
  <c r="FU19" i="1" s="1"/>
  <c r="EI19" i="1"/>
  <c r="FT19" i="1" s="1"/>
  <c r="EE19" i="1"/>
  <c r="FP19" i="1" s="1"/>
  <c r="DX19" i="1"/>
  <c r="DW19" i="1"/>
  <c r="DV19" i="1"/>
  <c r="DO19" i="1"/>
  <c r="DH19" i="1"/>
  <c r="DC19" i="1"/>
  <c r="CM19" i="1"/>
  <c r="CL19" i="1"/>
  <c r="CK19" i="1"/>
  <c r="CI19" i="1"/>
  <c r="BR19" i="1"/>
  <c r="EG19" i="1" s="1"/>
  <c r="FR19" i="1" s="1"/>
  <c r="BQ19" i="1"/>
  <c r="EF19" i="1" s="1"/>
  <c r="FQ19" i="1" s="1"/>
  <c r="BJ19" i="1"/>
  <c r="BP19" i="1" s="1"/>
  <c r="BI19" i="1"/>
  <c r="BO19" i="1" s="1"/>
  <c r="BF19" i="1"/>
  <c r="AL19" i="1"/>
  <c r="T19" i="1"/>
  <c r="K19" i="1"/>
  <c r="CE19" i="1" s="1"/>
  <c r="H19" i="1"/>
  <c r="M19" i="1" s="1"/>
  <c r="A19" i="1"/>
  <c r="EU9" i="3" l="1"/>
  <c r="GF9" i="3" s="1"/>
  <c r="EQ9" i="3"/>
  <c r="EV9" i="3"/>
  <c r="GG9" i="3" s="1"/>
  <c r="CE20" i="1"/>
  <c r="FK9" i="3"/>
  <c r="GV9" i="3" s="1"/>
  <c r="AA19" i="1"/>
  <c r="AW19" i="1"/>
  <c r="AI20" i="1"/>
  <c r="AO20" i="1"/>
  <c r="BE20" i="1"/>
  <c r="AI19" i="1"/>
  <c r="AO19" i="1"/>
  <c r="BE19" i="1"/>
  <c r="AA20" i="1"/>
  <c r="EV20" i="1"/>
  <c r="GG20" i="1" s="1"/>
  <c r="CX20" i="1"/>
  <c r="CV20" i="1"/>
  <c r="CP20" i="1"/>
  <c r="CN20" i="1"/>
  <c r="CQ20" i="1"/>
  <c r="CU20" i="1"/>
  <c r="EB20" i="1"/>
  <c r="BC20" i="1"/>
  <c r="AY20" i="1"/>
  <c r="AU20" i="1"/>
  <c r="AQ20" i="1"/>
  <c r="AK20" i="1"/>
  <c r="AG20" i="1"/>
  <c r="AC20" i="1"/>
  <c r="Y20" i="1"/>
  <c r="S20" i="1"/>
  <c r="O20" i="1"/>
  <c r="L20" i="1"/>
  <c r="CG20" i="1" s="1"/>
  <c r="Q20" i="1"/>
  <c r="W20" i="1"/>
  <c r="AE20" i="1"/>
  <c r="AS20" i="1"/>
  <c r="BA20" i="1"/>
  <c r="CO20" i="1"/>
  <c r="CW20" i="1"/>
  <c r="EV19" i="1"/>
  <c r="GG19" i="1" s="1"/>
  <c r="CX19" i="1"/>
  <c r="CV19" i="1"/>
  <c r="CP19" i="1"/>
  <c r="CN19" i="1"/>
  <c r="CQ19" i="1"/>
  <c r="CU19" i="1"/>
  <c r="EB19" i="1"/>
  <c r="BC19" i="1"/>
  <c r="AY19" i="1"/>
  <c r="AU19" i="1"/>
  <c r="AQ19" i="1"/>
  <c r="AK19" i="1"/>
  <c r="AG19" i="1"/>
  <c r="AC19" i="1"/>
  <c r="Y19" i="1"/>
  <c r="S19" i="1"/>
  <c r="O19" i="1"/>
  <c r="L19" i="1"/>
  <c r="CG19" i="1" s="1"/>
  <c r="CJ19" i="1" s="1"/>
  <c r="Q19" i="1"/>
  <c r="W19" i="1"/>
  <c r="AE19" i="1"/>
  <c r="AS19" i="1"/>
  <c r="BA19" i="1"/>
  <c r="CO19" i="1"/>
  <c r="CW19" i="1"/>
  <c r="FK24" i="3" l="1"/>
  <c r="GV24" i="3" s="1"/>
  <c r="FN9" i="3"/>
  <c r="GY9" i="3" s="1"/>
  <c r="FM9" i="3"/>
  <c r="GX9" i="3" s="1"/>
  <c r="EY20" i="1"/>
  <c r="GJ20" i="1" s="1"/>
  <c r="EX20" i="1"/>
  <c r="GI20" i="1" s="1"/>
  <c r="GB9" i="3"/>
  <c r="BG20" i="1"/>
  <c r="AM20" i="1"/>
  <c r="CJ20" i="1"/>
  <c r="EZ20" i="1" s="1"/>
  <c r="GK20" i="1" s="1"/>
  <c r="CT20" i="1"/>
  <c r="EY19" i="1"/>
  <c r="GJ19" i="1" s="1"/>
  <c r="U19" i="1"/>
  <c r="BG19" i="1"/>
  <c r="U20" i="1"/>
  <c r="FM20" i="1"/>
  <c r="CR20" i="1"/>
  <c r="CS20" i="1" s="1"/>
  <c r="EX19" i="1"/>
  <c r="GI19" i="1" s="1"/>
  <c r="CT19" i="1"/>
  <c r="EZ19" i="1"/>
  <c r="GK19" i="1" s="1"/>
  <c r="AM19" i="1"/>
  <c r="FM19" i="1"/>
  <c r="CR19" i="1"/>
  <c r="CS19" i="1" s="1"/>
  <c r="EG9" i="3" l="1"/>
  <c r="HP9" i="3"/>
  <c r="ER9" i="3"/>
  <c r="GC9" i="3" s="1"/>
  <c r="FL9" i="3"/>
  <c r="DZ19" i="1"/>
  <c r="EL19" i="1" s="1" a="1"/>
  <c r="EL19" i="1" s="1"/>
  <c r="EC19" i="1"/>
  <c r="FN19" i="1" s="1"/>
  <c r="EW20" i="1"/>
  <c r="CY20" i="1"/>
  <c r="DS20" i="1" s="1"/>
  <c r="DZ20" i="1"/>
  <c r="CC19" i="1"/>
  <c r="CC20" i="1"/>
  <c r="EC20" i="1"/>
  <c r="EW19" i="1"/>
  <c r="CY19" i="1"/>
  <c r="EO19" i="1" l="1" a="1"/>
  <c r="EO19" i="1" s="1"/>
  <c r="EP9" i="3"/>
  <c r="EN9" i="3"/>
  <c r="FO9" i="3"/>
  <c r="GZ9" i="3" s="1"/>
  <c r="ES19" i="1" a="1"/>
  <c r="ES19" i="1" s="1"/>
  <c r="EQ19" i="1" a="1"/>
  <c r="EQ19" i="1" s="1"/>
  <c r="EK19" i="1" a="1"/>
  <c r="EK19" i="1" s="1"/>
  <c r="GW9" i="3"/>
  <c r="EI9" i="3"/>
  <c r="ED19" i="1" a="1"/>
  <c r="ED19" i="1" s="1"/>
  <c r="ER19" i="1" a="1"/>
  <c r="ER19" i="1" s="1"/>
  <c r="EH19" i="1" a="1"/>
  <c r="EH19" i="1" s="1"/>
  <c r="FN20" i="1"/>
  <c r="EO20" i="1" a="1"/>
  <c r="EO20" i="1" s="1"/>
  <c r="EL20" i="1" a="1"/>
  <c r="EL20" i="1" s="1"/>
  <c r="EK20" i="1" a="1"/>
  <c r="EK20" i="1" s="1"/>
  <c r="EH20" i="1" a="1"/>
  <c r="EH20" i="1" s="1"/>
  <c r="ES20" i="1" a="1"/>
  <c r="ES20" i="1" s="1"/>
  <c r="ER20" i="1" a="1"/>
  <c r="ER20" i="1" s="1"/>
  <c r="EQ20" i="1" a="1"/>
  <c r="EQ20" i="1" s="1"/>
  <c r="ED20" i="1" a="1"/>
  <c r="ED20" i="1" s="1"/>
  <c r="DT20" i="1"/>
  <c r="DY20" i="1" s="1"/>
  <c r="DU20" i="1"/>
  <c r="GH20" i="1"/>
  <c r="GT20" i="1" s="1"/>
  <c r="FI20" i="1"/>
  <c r="DS19" i="1"/>
  <c r="DT19" i="1" s="1"/>
  <c r="DY19" i="1" s="1"/>
  <c r="DU19" i="1"/>
  <c r="GH19" i="1"/>
  <c r="GT19" i="1" s="1"/>
  <c r="FI19" i="1"/>
  <c r="FA9" i="3" l="1" a="1"/>
  <c r="FA9" i="3" s="1"/>
  <c r="HL9" i="3"/>
  <c r="EN19" i="1"/>
  <c r="FX9" i="3"/>
  <c r="HI9" i="3"/>
  <c r="ET19" i="1"/>
  <c r="GD19" i="1"/>
  <c r="GB19" i="1"/>
  <c r="EH9" i="3"/>
  <c r="FH9" i="3" a="1"/>
  <c r="FH9" i="3" s="1"/>
  <c r="FD9" i="3" a="1"/>
  <c r="FD9" i="3" s="1"/>
  <c r="FF9" i="3" a="1"/>
  <c r="FF9" i="3" s="1"/>
  <c r="EZ9" i="3" a="1"/>
  <c r="EZ9" i="3" s="1"/>
  <c r="GC19" i="1"/>
  <c r="EM19" i="1"/>
  <c r="ES9" i="3" a="1"/>
  <c r="ES9" i="3" s="1"/>
  <c r="FG9" i="3" a="1"/>
  <c r="FG9" i="3" s="1"/>
  <c r="EW9" i="3" a="1"/>
  <c r="EW9" i="3" s="1"/>
  <c r="FZ19" i="1"/>
  <c r="EM20" i="1"/>
  <c r="EN20" i="1"/>
  <c r="GC20" i="1"/>
  <c r="GB20" i="1"/>
  <c r="ET20" i="1"/>
  <c r="GD20" i="1"/>
  <c r="FZ20" i="1"/>
  <c r="EM9" i="3" l="1"/>
  <c r="HR9" i="3" s="1"/>
  <c r="HL25" i="3"/>
  <c r="HM25" i="3" s="1"/>
  <c r="EU19" i="1"/>
  <c r="FJ19" i="1" s="1"/>
  <c r="GE19" i="1"/>
  <c r="FW19" i="1"/>
  <c r="FS19" i="1"/>
  <c r="FO19" i="1"/>
  <c r="FI9" i="3"/>
  <c r="GO9" i="3"/>
  <c r="FC9" i="3"/>
  <c r="FB9" i="3"/>
  <c r="GS9" i="3"/>
  <c r="GQ9" i="3"/>
  <c r="GR9" i="3"/>
  <c r="FV19" i="1"/>
  <c r="EU20" i="1"/>
  <c r="FJ20" i="1" s="1"/>
  <c r="FW20" i="1"/>
  <c r="FS20" i="1"/>
  <c r="FO20" i="1"/>
  <c r="FV20" i="1"/>
  <c r="GE20" i="1"/>
  <c r="HM9" i="3" l="1"/>
  <c r="FY19" i="1"/>
  <c r="GF19" i="1" s="1"/>
  <c r="GU19" i="1" s="1"/>
  <c r="FX19" i="1"/>
  <c r="FJ9" i="3"/>
  <c r="FY9" i="3" s="1"/>
  <c r="GH9" i="3"/>
  <c r="GK9" i="3"/>
  <c r="GL9" i="3"/>
  <c r="GT9" i="3"/>
  <c r="GD9" i="3"/>
  <c r="FY20" i="1"/>
  <c r="GF20" i="1" s="1"/>
  <c r="GU20" i="1" s="1"/>
  <c r="FX20" i="1"/>
  <c r="GM9" i="3" l="1"/>
  <c r="GN9" i="3"/>
  <c r="GU9" i="3" s="1"/>
  <c r="HJ9" i="3" s="1"/>
  <c r="I21" i="1" l="1"/>
  <c r="N21" i="1"/>
  <c r="P21" i="1"/>
  <c r="R21" i="1"/>
  <c r="V21" i="1"/>
  <c r="X21" i="1"/>
  <c r="Z21" i="1"/>
  <c r="AB21" i="1"/>
  <c r="AD21" i="1"/>
  <c r="AF21" i="1"/>
  <c r="AH21" i="1"/>
  <c r="AJ21" i="1"/>
  <c r="AN21" i="1"/>
  <c r="AP21" i="1"/>
  <c r="AR21" i="1"/>
  <c r="AT21" i="1"/>
  <c r="AV21" i="1"/>
  <c r="AX21" i="1"/>
  <c r="AZ21" i="1"/>
  <c r="BB21" i="1"/>
  <c r="BD21" i="1"/>
  <c r="BH21" i="1"/>
  <c r="BK21" i="1"/>
  <c r="BL21" i="1"/>
  <c r="BM21" i="1"/>
  <c r="BN21" i="1"/>
  <c r="BS21" i="1"/>
  <c r="BT21" i="1"/>
  <c r="BU21" i="1"/>
  <c r="BV21" i="1"/>
  <c r="BW21" i="1"/>
  <c r="BX21" i="1"/>
  <c r="BY21" i="1"/>
  <c r="BZ21" i="1"/>
  <c r="CA21" i="1"/>
  <c r="CB21" i="1"/>
  <c r="CD21" i="1"/>
  <c r="CF21" i="1"/>
  <c r="CH21" i="1"/>
  <c r="CZ21" i="1"/>
  <c r="DA21" i="1"/>
  <c r="DB21" i="1"/>
  <c r="DD21" i="1"/>
  <c r="DE21" i="1"/>
  <c r="DF21" i="1"/>
  <c r="DG21" i="1"/>
  <c r="DI21" i="1"/>
  <c r="DJ21" i="1"/>
  <c r="DK21" i="1"/>
  <c r="DL21" i="1"/>
  <c r="DM21" i="1"/>
  <c r="DN21" i="1"/>
  <c r="DP21" i="1"/>
  <c r="DQ21" i="1"/>
  <c r="DR21" i="1"/>
  <c r="EA21" i="1"/>
  <c r="FK21" i="1"/>
  <c r="FL21" i="1"/>
  <c r="GV21" i="1"/>
  <c r="GW21" i="1"/>
  <c r="G21" i="1"/>
  <c r="FH18" i="1" l="1"/>
  <c r="GS18" i="1" s="1"/>
  <c r="FG18" i="1"/>
  <c r="GR18" i="1" s="1"/>
  <c r="FF18" i="1"/>
  <c r="GQ18" i="1" s="1"/>
  <c r="FE18" i="1"/>
  <c r="GP18" i="1" s="1"/>
  <c r="FD18" i="1"/>
  <c r="GO18" i="1" s="1"/>
  <c r="FC18" i="1"/>
  <c r="GN18" i="1" s="1"/>
  <c r="FB18" i="1"/>
  <c r="GM18" i="1" s="1"/>
  <c r="FA18" i="1"/>
  <c r="GL18" i="1" s="1"/>
  <c r="EP18" i="1"/>
  <c r="GA18" i="1" s="1"/>
  <c r="EJ18" i="1"/>
  <c r="FU18" i="1" s="1"/>
  <c r="EI18" i="1"/>
  <c r="FT18" i="1" s="1"/>
  <c r="EE18" i="1"/>
  <c r="FP18" i="1" s="1"/>
  <c r="DX18" i="1"/>
  <c r="DW18" i="1"/>
  <c r="DV18" i="1"/>
  <c r="DO18" i="1"/>
  <c r="DH18" i="1"/>
  <c r="DC18" i="1"/>
  <c r="CM18" i="1"/>
  <c r="CL18" i="1"/>
  <c r="CK18" i="1"/>
  <c r="CP18" i="1" s="1"/>
  <c r="CI18" i="1"/>
  <c r="BR18" i="1"/>
  <c r="EG18" i="1" s="1"/>
  <c r="FR18" i="1" s="1"/>
  <c r="BQ18" i="1"/>
  <c r="EF18" i="1" s="1"/>
  <c r="FQ18" i="1" s="1"/>
  <c r="BJ18" i="1"/>
  <c r="BP18" i="1" s="1"/>
  <c r="BI18" i="1"/>
  <c r="BO18" i="1" s="1"/>
  <c r="BF18" i="1"/>
  <c r="AL18" i="1"/>
  <c r="T18" i="1"/>
  <c r="K18" i="1"/>
  <c r="H18" i="1"/>
  <c r="M18" i="1" s="1"/>
  <c r="A18" i="1"/>
  <c r="FH17" i="1"/>
  <c r="GS17" i="1" s="1"/>
  <c r="FG17" i="1"/>
  <c r="GR17" i="1" s="1"/>
  <c r="FF17" i="1"/>
  <c r="GQ17" i="1" s="1"/>
  <c r="FE17" i="1"/>
  <c r="GP17" i="1" s="1"/>
  <c r="FD17" i="1"/>
  <c r="GO17" i="1" s="1"/>
  <c r="FC17" i="1"/>
  <c r="GN17" i="1" s="1"/>
  <c r="FB17" i="1"/>
  <c r="GM17" i="1" s="1"/>
  <c r="FA17" i="1"/>
  <c r="GL17" i="1" s="1"/>
  <c r="EP17" i="1"/>
  <c r="GA17" i="1" s="1"/>
  <c r="EJ17" i="1"/>
  <c r="FU17" i="1" s="1"/>
  <c r="EI17" i="1"/>
  <c r="FT17" i="1" s="1"/>
  <c r="EE17" i="1"/>
  <c r="FP17" i="1" s="1"/>
  <c r="DX17" i="1"/>
  <c r="DW17" i="1"/>
  <c r="DV17" i="1"/>
  <c r="DO17" i="1"/>
  <c r="DH17" i="1"/>
  <c r="DC17" i="1"/>
  <c r="CM17" i="1"/>
  <c r="CL17" i="1"/>
  <c r="CK17" i="1"/>
  <c r="CO17" i="1" s="1"/>
  <c r="BR17" i="1"/>
  <c r="EG17" i="1" s="1"/>
  <c r="FR17" i="1" s="1"/>
  <c r="BQ17" i="1"/>
  <c r="EF17" i="1" s="1"/>
  <c r="FQ17" i="1" s="1"/>
  <c r="BJ17" i="1"/>
  <c r="BP17" i="1" s="1"/>
  <c r="BI17" i="1"/>
  <c r="BO17" i="1" s="1"/>
  <c r="BF17" i="1"/>
  <c r="AL17" i="1"/>
  <c r="T17" i="1"/>
  <c r="H17" i="1"/>
  <c r="A17" i="1"/>
  <c r="FH16" i="1"/>
  <c r="GS16" i="1" s="1"/>
  <c r="FG16" i="1"/>
  <c r="GR16" i="1" s="1"/>
  <c r="FF16" i="1"/>
  <c r="GQ16" i="1" s="1"/>
  <c r="FE16" i="1"/>
  <c r="GP16" i="1" s="1"/>
  <c r="FD16" i="1"/>
  <c r="GO16" i="1" s="1"/>
  <c r="FC16" i="1"/>
  <c r="GN16" i="1" s="1"/>
  <c r="FB16" i="1"/>
  <c r="GM16" i="1" s="1"/>
  <c r="FA16" i="1"/>
  <c r="GL16" i="1" s="1"/>
  <c r="EP16" i="1"/>
  <c r="GA16" i="1" s="1"/>
  <c r="EJ16" i="1"/>
  <c r="FU16" i="1" s="1"/>
  <c r="EI16" i="1"/>
  <c r="FT16" i="1" s="1"/>
  <c r="EE16" i="1"/>
  <c r="FP16" i="1" s="1"/>
  <c r="DX16" i="1"/>
  <c r="DW16" i="1"/>
  <c r="DV16" i="1"/>
  <c r="DO16" i="1"/>
  <c r="DH16" i="1"/>
  <c r="DC16" i="1"/>
  <c r="CM16" i="1"/>
  <c r="CL16" i="1"/>
  <c r="CK16" i="1"/>
  <c r="CP16" i="1" s="1"/>
  <c r="BR16" i="1"/>
  <c r="EG16" i="1" s="1"/>
  <c r="FR16" i="1" s="1"/>
  <c r="BQ16" i="1"/>
  <c r="EF16" i="1" s="1"/>
  <c r="FQ16" i="1" s="1"/>
  <c r="BJ16" i="1"/>
  <c r="BP16" i="1" s="1"/>
  <c r="BI16" i="1"/>
  <c r="BO16" i="1" s="1"/>
  <c r="BF16" i="1"/>
  <c r="AL16" i="1"/>
  <c r="T16" i="1"/>
  <c r="K16" i="1"/>
  <c r="H16" i="1"/>
  <c r="A16" i="1"/>
  <c r="FH15" i="1"/>
  <c r="GS15" i="1" s="1"/>
  <c r="FG15" i="1"/>
  <c r="GR15" i="1" s="1"/>
  <c r="FF15" i="1"/>
  <c r="GQ15" i="1" s="1"/>
  <c r="FE15" i="1"/>
  <c r="GP15" i="1" s="1"/>
  <c r="FD15" i="1"/>
  <c r="GO15" i="1" s="1"/>
  <c r="FC15" i="1"/>
  <c r="GN15" i="1" s="1"/>
  <c r="FB15" i="1"/>
  <c r="GM15" i="1" s="1"/>
  <c r="FA15" i="1"/>
  <c r="GL15" i="1" s="1"/>
  <c r="EP15" i="1"/>
  <c r="EJ15" i="1"/>
  <c r="FU15" i="1" s="1"/>
  <c r="EI15" i="1"/>
  <c r="FT15" i="1" s="1"/>
  <c r="EE15" i="1"/>
  <c r="FP15" i="1" s="1"/>
  <c r="DX15" i="1"/>
  <c r="DW15" i="1"/>
  <c r="DV15" i="1"/>
  <c r="DO15" i="1"/>
  <c r="DH15" i="1"/>
  <c r="DC15" i="1"/>
  <c r="CM15" i="1"/>
  <c r="CL15" i="1"/>
  <c r="CK15" i="1"/>
  <c r="CO15" i="1" s="1"/>
  <c r="BR15" i="1"/>
  <c r="EG15" i="1" s="1"/>
  <c r="FR15" i="1" s="1"/>
  <c r="BQ15" i="1"/>
  <c r="EF15" i="1" s="1"/>
  <c r="FQ15" i="1" s="1"/>
  <c r="BJ15" i="1"/>
  <c r="BP15" i="1" s="1"/>
  <c r="BI15" i="1"/>
  <c r="BO15" i="1" s="1"/>
  <c r="BF15" i="1"/>
  <c r="AL15" i="1"/>
  <c r="T15" i="1"/>
  <c r="K15" i="1"/>
  <c r="H15" i="1"/>
  <c r="A15" i="1"/>
  <c r="FH14" i="1"/>
  <c r="GS14" i="1" s="1"/>
  <c r="FG14" i="1"/>
  <c r="GR14" i="1" s="1"/>
  <c r="FF14" i="1"/>
  <c r="GQ14" i="1" s="1"/>
  <c r="FE14" i="1"/>
  <c r="GP14" i="1" s="1"/>
  <c r="FD14" i="1"/>
  <c r="GO14" i="1" s="1"/>
  <c r="FC14" i="1"/>
  <c r="GN14" i="1" s="1"/>
  <c r="FB14" i="1"/>
  <c r="GM14" i="1" s="1"/>
  <c r="FA14" i="1"/>
  <c r="GL14" i="1" s="1"/>
  <c r="EP14" i="1"/>
  <c r="GA14" i="1" s="1"/>
  <c r="EJ14" i="1"/>
  <c r="FU14" i="1" s="1"/>
  <c r="EI14" i="1"/>
  <c r="FT14" i="1" s="1"/>
  <c r="EE14" i="1"/>
  <c r="FP14" i="1" s="1"/>
  <c r="DX14" i="1"/>
  <c r="DW14" i="1"/>
  <c r="DV14" i="1"/>
  <c r="DO14" i="1"/>
  <c r="DH14" i="1"/>
  <c r="DC14" i="1"/>
  <c r="CM14" i="1"/>
  <c r="CL14" i="1"/>
  <c r="CK14" i="1"/>
  <c r="CO14" i="1" s="1"/>
  <c r="BR14" i="1"/>
  <c r="EG14" i="1" s="1"/>
  <c r="FR14" i="1" s="1"/>
  <c r="BQ14" i="1"/>
  <c r="EF14" i="1" s="1"/>
  <c r="FQ14" i="1" s="1"/>
  <c r="BJ14" i="1"/>
  <c r="BP14" i="1" s="1"/>
  <c r="BI14" i="1"/>
  <c r="BO14" i="1" s="1"/>
  <c r="BF14" i="1"/>
  <c r="AL14" i="1"/>
  <c r="T14" i="1"/>
  <c r="CI14" i="1"/>
  <c r="H14" i="1"/>
  <c r="A14" i="1"/>
  <c r="FH13" i="1"/>
  <c r="GS13" i="1" s="1"/>
  <c r="FG13" i="1"/>
  <c r="GR13" i="1" s="1"/>
  <c r="FF13" i="1"/>
  <c r="GQ13" i="1" s="1"/>
  <c r="FE13" i="1"/>
  <c r="GP13" i="1" s="1"/>
  <c r="FD13" i="1"/>
  <c r="GO13" i="1" s="1"/>
  <c r="FC13" i="1"/>
  <c r="GN13" i="1" s="1"/>
  <c r="FB13" i="1"/>
  <c r="GM13" i="1" s="1"/>
  <c r="FA13" i="1"/>
  <c r="GL13" i="1" s="1"/>
  <c r="EP13" i="1"/>
  <c r="GA13" i="1" s="1"/>
  <c r="EJ13" i="1"/>
  <c r="FU13" i="1" s="1"/>
  <c r="EI13" i="1"/>
  <c r="FT13" i="1" s="1"/>
  <c r="EE13" i="1"/>
  <c r="FP13" i="1" s="1"/>
  <c r="DX13" i="1"/>
  <c r="DW13" i="1"/>
  <c r="DV13" i="1"/>
  <c r="DO13" i="1"/>
  <c r="DH13" i="1"/>
  <c r="DC13" i="1"/>
  <c r="CM13" i="1"/>
  <c r="CL13" i="1"/>
  <c r="CK13" i="1"/>
  <c r="CO13" i="1" s="1"/>
  <c r="BR13" i="1"/>
  <c r="EG13" i="1" s="1"/>
  <c r="FR13" i="1" s="1"/>
  <c r="BQ13" i="1"/>
  <c r="EF13" i="1" s="1"/>
  <c r="FQ13" i="1" s="1"/>
  <c r="BJ13" i="1"/>
  <c r="BP13" i="1" s="1"/>
  <c r="BI13" i="1"/>
  <c r="BO13" i="1" s="1"/>
  <c r="BF13" i="1"/>
  <c r="AL13" i="1"/>
  <c r="T13" i="1"/>
  <c r="K13" i="1"/>
  <c r="CI13" i="1"/>
  <c r="H13" i="1"/>
  <c r="M13" i="1" s="1"/>
  <c r="A13" i="1"/>
  <c r="FH12" i="1"/>
  <c r="GS12" i="1" s="1"/>
  <c r="FG12" i="1"/>
  <c r="GR12" i="1" s="1"/>
  <c r="FF12" i="1"/>
  <c r="FE12" i="1"/>
  <c r="FD12" i="1"/>
  <c r="FC12" i="1"/>
  <c r="FB12" i="1"/>
  <c r="FA12" i="1"/>
  <c r="EP12" i="1"/>
  <c r="GA12" i="1" s="1"/>
  <c r="EJ12" i="1"/>
  <c r="EI12" i="1"/>
  <c r="FT12" i="1" s="1"/>
  <c r="EE12" i="1"/>
  <c r="FP12" i="1" s="1"/>
  <c r="DX12" i="1"/>
  <c r="DW12" i="1"/>
  <c r="DV12" i="1"/>
  <c r="DO12" i="1"/>
  <c r="DH12" i="1"/>
  <c r="DC12" i="1"/>
  <c r="CM12" i="1"/>
  <c r="CL12" i="1"/>
  <c r="CK12" i="1"/>
  <c r="BR12" i="1"/>
  <c r="EG12" i="1" s="1"/>
  <c r="BQ12" i="1"/>
  <c r="BJ12" i="1"/>
  <c r="BP12" i="1" s="1"/>
  <c r="BI12" i="1"/>
  <c r="BF12" i="1"/>
  <c r="AL12" i="1"/>
  <c r="T12" i="1"/>
  <c r="K12" i="1"/>
  <c r="H12" i="1"/>
  <c r="A12" i="1"/>
  <c r="FH11" i="1"/>
  <c r="GS11" i="1" s="1"/>
  <c r="FG11" i="1"/>
  <c r="GR11" i="1" s="1"/>
  <c r="FF11" i="1"/>
  <c r="GQ11" i="1" s="1"/>
  <c r="FE11" i="1"/>
  <c r="GP11" i="1" s="1"/>
  <c r="FD11" i="1"/>
  <c r="GO11" i="1" s="1"/>
  <c r="FC11" i="1"/>
  <c r="GN11" i="1" s="1"/>
  <c r="FB11" i="1"/>
  <c r="GM11" i="1" s="1"/>
  <c r="FA11" i="1"/>
  <c r="GL11" i="1" s="1"/>
  <c r="EP11" i="1"/>
  <c r="GA11" i="1" s="1"/>
  <c r="EJ11" i="1"/>
  <c r="FU11" i="1" s="1"/>
  <c r="EI11" i="1"/>
  <c r="FT11" i="1" s="1"/>
  <c r="EE11" i="1"/>
  <c r="FP11" i="1" s="1"/>
  <c r="DX11" i="1"/>
  <c r="DW11" i="1"/>
  <c r="DV11" i="1"/>
  <c r="DO11" i="1"/>
  <c r="DH11" i="1"/>
  <c r="DC11" i="1"/>
  <c r="CM11" i="1"/>
  <c r="CL11" i="1"/>
  <c r="CK11" i="1"/>
  <c r="CP11" i="1" s="1"/>
  <c r="BR11" i="1"/>
  <c r="EG11" i="1" s="1"/>
  <c r="FR11" i="1" s="1"/>
  <c r="BQ11" i="1"/>
  <c r="EF11" i="1" s="1"/>
  <c r="FQ11" i="1" s="1"/>
  <c r="BJ11" i="1"/>
  <c r="BP11" i="1" s="1"/>
  <c r="BI11" i="1"/>
  <c r="BO11" i="1" s="1"/>
  <c r="BF11" i="1"/>
  <c r="AL11" i="1"/>
  <c r="T11" i="1"/>
  <c r="CI11" i="1"/>
  <c r="H11" i="1"/>
  <c r="A11" i="1"/>
  <c r="FH10" i="1"/>
  <c r="GS10" i="1" s="1"/>
  <c r="FG10" i="1"/>
  <c r="GR10" i="1" s="1"/>
  <c r="FF10" i="1"/>
  <c r="GQ10" i="1" s="1"/>
  <c r="FE10" i="1"/>
  <c r="GP10" i="1" s="1"/>
  <c r="FD10" i="1"/>
  <c r="GO10" i="1" s="1"/>
  <c r="FC10" i="1"/>
  <c r="GN10" i="1" s="1"/>
  <c r="FB10" i="1"/>
  <c r="GM10" i="1" s="1"/>
  <c r="FA10" i="1"/>
  <c r="GL10" i="1" s="1"/>
  <c r="EP10" i="1"/>
  <c r="GA10" i="1" s="1"/>
  <c r="EJ10" i="1"/>
  <c r="FU10" i="1" s="1"/>
  <c r="EI10" i="1"/>
  <c r="FT10" i="1" s="1"/>
  <c r="EE10" i="1"/>
  <c r="FP10" i="1" s="1"/>
  <c r="DX10" i="1"/>
  <c r="DW10" i="1"/>
  <c r="DV10" i="1"/>
  <c r="DO10" i="1"/>
  <c r="DH10" i="1"/>
  <c r="DC10" i="1"/>
  <c r="CM10" i="1"/>
  <c r="CL10" i="1"/>
  <c r="CK10" i="1"/>
  <c r="CO10" i="1" s="1"/>
  <c r="BR10" i="1"/>
  <c r="EG10" i="1" s="1"/>
  <c r="FR10" i="1" s="1"/>
  <c r="BQ10" i="1"/>
  <c r="EF10" i="1" s="1"/>
  <c r="FQ10" i="1" s="1"/>
  <c r="BJ10" i="1"/>
  <c r="BP10" i="1" s="1"/>
  <c r="BI10" i="1"/>
  <c r="BO10" i="1" s="1"/>
  <c r="BF10" i="1"/>
  <c r="AL10" i="1"/>
  <c r="T10" i="1"/>
  <c r="K10" i="1"/>
  <c r="CE10" i="1" s="1"/>
  <c r="H10" i="1"/>
  <c r="M10" i="1" s="1"/>
  <c r="A10" i="1"/>
  <c r="FH9" i="1"/>
  <c r="FG9" i="1"/>
  <c r="FF9" i="1"/>
  <c r="FE9" i="1"/>
  <c r="FD9" i="1"/>
  <c r="FC9" i="1"/>
  <c r="FB9" i="1"/>
  <c r="FA9" i="1"/>
  <c r="EP9" i="1"/>
  <c r="EJ9" i="1"/>
  <c r="EI9" i="1"/>
  <c r="EE9" i="1"/>
  <c r="DX9" i="1"/>
  <c r="DW9" i="1"/>
  <c r="DV9" i="1"/>
  <c r="DH9" i="1"/>
  <c r="DC9" i="1"/>
  <c r="CM9" i="1"/>
  <c r="CL9" i="1"/>
  <c r="CK9" i="1"/>
  <c r="CN9" i="1" s="1"/>
  <c r="BQ9" i="1"/>
  <c r="BJ9" i="1"/>
  <c r="BI9" i="1"/>
  <c r="BF9" i="1"/>
  <c r="AL9" i="1"/>
  <c r="T9" i="1"/>
  <c r="H9" i="1"/>
  <c r="A9" i="1"/>
  <c r="AY12" i="1" l="1"/>
  <c r="CE12" i="1"/>
  <c r="AU13" i="1"/>
  <c r="CE13" i="1"/>
  <c r="Q15" i="1"/>
  <c r="CE15" i="1"/>
  <c r="BC18" i="1"/>
  <c r="CE18" i="1"/>
  <c r="AO16" i="1"/>
  <c r="CE16" i="1"/>
  <c r="AL21" i="1"/>
  <c r="CL21" i="1"/>
  <c r="CQ9" i="1"/>
  <c r="EP21" i="1"/>
  <c r="FB21" i="1"/>
  <c r="CN10" i="1"/>
  <c r="BQ21" i="1"/>
  <c r="DV21" i="1"/>
  <c r="AW16" i="1"/>
  <c r="T21" i="1"/>
  <c r="BF21" i="1"/>
  <c r="DO21" i="1"/>
  <c r="L13" i="1"/>
  <c r="CG13" i="1" s="1"/>
  <c r="AG13" i="1"/>
  <c r="BA13" i="1"/>
  <c r="K14" i="1"/>
  <c r="AG14" i="1" s="1"/>
  <c r="M17" i="1"/>
  <c r="CW17" i="1" s="1"/>
  <c r="Q13" i="1"/>
  <c r="Y13" i="1"/>
  <c r="BC13" i="1"/>
  <c r="DC21" i="1"/>
  <c r="BI21" i="1"/>
  <c r="BO9" i="1"/>
  <c r="CM21" i="1"/>
  <c r="EE21" i="1"/>
  <c r="EJ21" i="1"/>
  <c r="FA21" i="1"/>
  <c r="FE21" i="1"/>
  <c r="DH21" i="1"/>
  <c r="GN9" i="1"/>
  <c r="FC21" i="1"/>
  <c r="GR9" i="1"/>
  <c r="GR21" i="1" s="1"/>
  <c r="FG21" i="1"/>
  <c r="GM9" i="1"/>
  <c r="CQ15" i="1"/>
  <c r="CQ16" i="1"/>
  <c r="GO9" i="1"/>
  <c r="FD21" i="1"/>
  <c r="GS9" i="1"/>
  <c r="GS21" i="1" s="1"/>
  <c r="FH21" i="1"/>
  <c r="GP9" i="1"/>
  <c r="CQ10" i="1"/>
  <c r="BP9" i="1"/>
  <c r="BP21" i="1" s="1"/>
  <c r="BJ21" i="1"/>
  <c r="CO9" i="1"/>
  <c r="CK21" i="1"/>
  <c r="CP9" i="1"/>
  <c r="FU9" i="1"/>
  <c r="FT9" i="1"/>
  <c r="FT21" i="1" s="1"/>
  <c r="EI21" i="1"/>
  <c r="GQ9" i="1"/>
  <c r="FF21" i="1"/>
  <c r="GL9" i="1"/>
  <c r="CP15" i="1"/>
  <c r="CN16" i="1"/>
  <c r="CN17" i="1"/>
  <c r="AU15" i="1"/>
  <c r="AG15" i="1"/>
  <c r="S15" i="1"/>
  <c r="BE15" i="1"/>
  <c r="AO15" i="1"/>
  <c r="AA15" i="1"/>
  <c r="L15" i="1"/>
  <c r="CG15" i="1" s="1"/>
  <c r="AW15" i="1"/>
  <c r="BC15" i="1"/>
  <c r="Y15" i="1"/>
  <c r="AI15" i="1"/>
  <c r="Y12" i="1"/>
  <c r="CI15" i="1"/>
  <c r="K9" i="1"/>
  <c r="W9" i="1" s="1"/>
  <c r="J21" i="1"/>
  <c r="DW21" i="1"/>
  <c r="K11" i="1"/>
  <c r="AW11" i="1" s="1"/>
  <c r="L12" i="1"/>
  <c r="CG12" i="1" s="1"/>
  <c r="AG12" i="1"/>
  <c r="M14" i="1"/>
  <c r="CV14" i="1" s="1"/>
  <c r="AA16" i="1"/>
  <c r="BR9" i="1"/>
  <c r="EG9" i="1" s="1"/>
  <c r="DX21" i="1"/>
  <c r="S12" i="1"/>
  <c r="W13" i="1"/>
  <c r="M16" i="1"/>
  <c r="CX16" i="1" s="1"/>
  <c r="BC12" i="1"/>
  <c r="M11" i="1"/>
  <c r="CV11" i="1" s="1"/>
  <c r="AU12" i="1"/>
  <c r="Y14" i="1"/>
  <c r="M15" i="1"/>
  <c r="CV15" i="1" s="1"/>
  <c r="CI16" i="1"/>
  <c r="EF9" i="1"/>
  <c r="M9" i="1"/>
  <c r="EB9" i="1" s="1"/>
  <c r="H21" i="1"/>
  <c r="EV17" i="1"/>
  <c r="GG17" i="1" s="1"/>
  <c r="EV18" i="1"/>
  <c r="GG18" i="1" s="1"/>
  <c r="EV14" i="1"/>
  <c r="GG14" i="1" s="1"/>
  <c r="EV15" i="1"/>
  <c r="GG15" i="1" s="1"/>
  <c r="EV16" i="1"/>
  <c r="GG16" i="1" s="1"/>
  <c r="EV11" i="1"/>
  <c r="GG11" i="1" s="1"/>
  <c r="EV9" i="1"/>
  <c r="EV10" i="1"/>
  <c r="GG10" i="1" s="1"/>
  <c r="EV13" i="1"/>
  <c r="GG13" i="1" s="1"/>
  <c r="EV12" i="1"/>
  <c r="GG12" i="1" s="1"/>
  <c r="CV13" i="1"/>
  <c r="EB13" i="1"/>
  <c r="CU13" i="1"/>
  <c r="CX13" i="1"/>
  <c r="CW13" i="1"/>
  <c r="CW15" i="1"/>
  <c r="CW10" i="1"/>
  <c r="CV10" i="1"/>
  <c r="EB10" i="1"/>
  <c r="CU10" i="1"/>
  <c r="CX10" i="1"/>
  <c r="BA10" i="1"/>
  <c r="AS10" i="1"/>
  <c r="AQ10" i="1"/>
  <c r="AY10" i="1"/>
  <c r="AC10" i="1"/>
  <c r="BE10" i="1"/>
  <c r="AW10" i="1"/>
  <c r="AO10" i="1"/>
  <c r="AI10" i="1"/>
  <c r="AA10" i="1"/>
  <c r="AK10" i="1"/>
  <c r="O10" i="1"/>
  <c r="BC10" i="1"/>
  <c r="AU10" i="1"/>
  <c r="AG10" i="1"/>
  <c r="Y10" i="1"/>
  <c r="S10" i="1"/>
  <c r="L10" i="1"/>
  <c r="CG10" i="1" s="1"/>
  <c r="AE10" i="1"/>
  <c r="W10" i="1"/>
  <c r="Q10" i="1"/>
  <c r="GA15" i="1"/>
  <c r="GA9" i="1"/>
  <c r="FP9" i="1"/>
  <c r="CP10" i="1"/>
  <c r="CQ11" i="1"/>
  <c r="O12" i="1"/>
  <c r="AC12" i="1"/>
  <c r="AK12" i="1"/>
  <c r="AQ12" i="1"/>
  <c r="BO12" i="1"/>
  <c r="CI12" i="1"/>
  <c r="CQ12" i="1"/>
  <c r="FR12" i="1"/>
  <c r="GO12" i="1"/>
  <c r="AY13" i="1"/>
  <c r="AQ13" i="1"/>
  <c r="AK13" i="1"/>
  <c r="AC13" i="1"/>
  <c r="O13" i="1"/>
  <c r="BE13" i="1"/>
  <c r="AW13" i="1"/>
  <c r="AO13" i="1"/>
  <c r="AI13" i="1"/>
  <c r="AA13" i="1"/>
  <c r="S13" i="1"/>
  <c r="AE13" i="1"/>
  <c r="AS13" i="1"/>
  <c r="K17" i="1"/>
  <c r="CE17" i="1" s="1"/>
  <c r="CI17" i="1"/>
  <c r="CO11" i="1"/>
  <c r="CO12" i="1"/>
  <c r="CI10" i="1"/>
  <c r="CN11" i="1"/>
  <c r="Q12" i="1"/>
  <c r="W12" i="1"/>
  <c r="AE12" i="1"/>
  <c r="AS12" i="1"/>
  <c r="BA12" i="1"/>
  <c r="CN12" i="1"/>
  <c r="EF12" i="1"/>
  <c r="GL12" i="1"/>
  <c r="GP12" i="1"/>
  <c r="GQ12" i="1"/>
  <c r="CN13" i="1"/>
  <c r="CQ13" i="1"/>
  <c r="CP13" i="1"/>
  <c r="CI9" i="1"/>
  <c r="GM12" i="1"/>
  <c r="CN14" i="1"/>
  <c r="CQ14" i="1"/>
  <c r="CP14" i="1"/>
  <c r="M12" i="1"/>
  <c r="AA12" i="1"/>
  <c r="AI12" i="1"/>
  <c r="AO12" i="1"/>
  <c r="AW12" i="1"/>
  <c r="BE12" i="1"/>
  <c r="CP12" i="1"/>
  <c r="FU12" i="1"/>
  <c r="GN12" i="1"/>
  <c r="AY16" i="1"/>
  <c r="AQ16" i="1"/>
  <c r="AK16" i="1"/>
  <c r="AC16" i="1"/>
  <c r="O16" i="1"/>
  <c r="BC16" i="1"/>
  <c r="AU16" i="1"/>
  <c r="AG16" i="1"/>
  <c r="Y16" i="1"/>
  <c r="S16" i="1"/>
  <c r="L16" i="1"/>
  <c r="CG16" i="1" s="1"/>
  <c r="BA16" i="1"/>
  <c r="AS16" i="1"/>
  <c r="AE16" i="1"/>
  <c r="W16" i="1"/>
  <c r="Q16" i="1"/>
  <c r="AI16" i="1"/>
  <c r="BE16" i="1"/>
  <c r="CU17" i="1"/>
  <c r="CX18" i="1"/>
  <c r="CW18" i="1"/>
  <c r="CV18" i="1"/>
  <c r="EB18" i="1"/>
  <c r="CU18" i="1"/>
  <c r="O15" i="1"/>
  <c r="AC15" i="1"/>
  <c r="AK15" i="1"/>
  <c r="AQ15" i="1"/>
  <c r="AY15" i="1"/>
  <c r="CN15" i="1"/>
  <c r="CO16" i="1"/>
  <c r="CP17" i="1"/>
  <c r="AA18" i="1"/>
  <c r="AI18" i="1"/>
  <c r="AO18" i="1"/>
  <c r="AW18" i="1"/>
  <c r="BE18" i="1"/>
  <c r="CQ18" i="1"/>
  <c r="U15" i="1"/>
  <c r="W15" i="1"/>
  <c r="AE15" i="1"/>
  <c r="AS15" i="1"/>
  <c r="BA15" i="1"/>
  <c r="CQ17" i="1"/>
  <c r="O18" i="1"/>
  <c r="AC18" i="1"/>
  <c r="AK18" i="1"/>
  <c r="AQ18" i="1"/>
  <c r="AY18" i="1"/>
  <c r="CN18" i="1"/>
  <c r="Q18" i="1"/>
  <c r="W18" i="1"/>
  <c r="AE18" i="1"/>
  <c r="AS18" i="1"/>
  <c r="BA18" i="1"/>
  <c r="CO18" i="1"/>
  <c r="L18" i="1"/>
  <c r="CG18" i="1" s="1"/>
  <c r="S18" i="1"/>
  <c r="Y18" i="1"/>
  <c r="AG18" i="1"/>
  <c r="AU18" i="1"/>
  <c r="U10" i="1" l="1"/>
  <c r="CV17" i="1"/>
  <c r="EX17" i="1" s="1"/>
  <c r="GI17" i="1" s="1"/>
  <c r="L11" i="1"/>
  <c r="CG11" i="1" s="1"/>
  <c r="AQ11" i="1"/>
  <c r="EX10" i="1"/>
  <c r="GI10" i="1" s="1"/>
  <c r="AU11" i="1"/>
  <c r="AI11" i="1"/>
  <c r="Y11" i="1"/>
  <c r="AC11" i="1"/>
  <c r="AE11" i="1"/>
  <c r="CU15" i="1"/>
  <c r="EX15" i="1" s="1"/>
  <c r="GI15" i="1" s="1"/>
  <c r="Q14" i="1"/>
  <c r="CE9" i="1"/>
  <c r="CJ13" i="1"/>
  <c r="EZ13" i="1" s="1"/>
  <c r="GK13" i="1" s="1"/>
  <c r="AC14" i="1"/>
  <c r="CR10" i="1"/>
  <c r="CS10" i="1" s="1"/>
  <c r="AS9" i="1"/>
  <c r="AY9" i="1"/>
  <c r="AE14" i="1"/>
  <c r="AQ14" i="1"/>
  <c r="Y9" i="1"/>
  <c r="AW9" i="1"/>
  <c r="AE9" i="1"/>
  <c r="EB14" i="1"/>
  <c r="FM14" i="1" s="1"/>
  <c r="L9" i="1"/>
  <c r="CG9" i="1" s="1"/>
  <c r="CJ9" i="1" s="1"/>
  <c r="AU9" i="1"/>
  <c r="AI9" i="1"/>
  <c r="AC9" i="1"/>
  <c r="AK9" i="1"/>
  <c r="CW16" i="1"/>
  <c r="EY16" i="1" s="1"/>
  <c r="GJ16" i="1" s="1"/>
  <c r="U13" i="1"/>
  <c r="CW11" i="1"/>
  <c r="CX14" i="1"/>
  <c r="Q9" i="1"/>
  <c r="BA9" i="1"/>
  <c r="S9" i="1"/>
  <c r="AG9" i="1"/>
  <c r="BC9" i="1"/>
  <c r="AA9" i="1"/>
  <c r="AO9" i="1"/>
  <c r="BE9" i="1"/>
  <c r="AQ9" i="1"/>
  <c r="O9" i="1"/>
  <c r="CU16" i="1"/>
  <c r="CV16" i="1"/>
  <c r="AW14" i="1"/>
  <c r="CR16" i="1"/>
  <c r="CS16" i="1" s="1"/>
  <c r="BO21" i="1"/>
  <c r="CR15" i="1"/>
  <c r="CS15" i="1" s="1"/>
  <c r="BR21" i="1"/>
  <c r="S14" i="1"/>
  <c r="CE14" i="1"/>
  <c r="BC11" i="1"/>
  <c r="CE11" i="1"/>
  <c r="CJ15" i="1"/>
  <c r="EZ15" i="1" s="1"/>
  <c r="GK15" i="1" s="1"/>
  <c r="CU11" i="1"/>
  <c r="EX11" i="1" s="1"/>
  <c r="GI11" i="1" s="1"/>
  <c r="CX11" i="1"/>
  <c r="CU9" i="1"/>
  <c r="CT9" i="1"/>
  <c r="CX17" i="1"/>
  <c r="EY17" i="1" s="1"/>
  <c r="GJ17" i="1" s="1"/>
  <c r="EB17" i="1"/>
  <c r="FM17" i="1" s="1"/>
  <c r="EB15" i="1"/>
  <c r="FM15" i="1" s="1"/>
  <c r="CW14" i="1"/>
  <c r="CU14" i="1"/>
  <c r="EX14" i="1" s="1"/>
  <c r="GI14" i="1" s="1"/>
  <c r="EB16" i="1"/>
  <c r="FM16" i="1" s="1"/>
  <c r="CR9" i="1"/>
  <c r="CS9" i="1" s="1"/>
  <c r="CW9" i="1"/>
  <c r="CV9" i="1"/>
  <c r="AS14" i="1"/>
  <c r="W14" i="1"/>
  <c r="AY14" i="1"/>
  <c r="AK14" i="1"/>
  <c r="O14" i="1"/>
  <c r="AG11" i="1"/>
  <c r="S11" i="1"/>
  <c r="BA11" i="1"/>
  <c r="AY11" i="1"/>
  <c r="AK11" i="1"/>
  <c r="O11" i="1"/>
  <c r="AS11" i="1"/>
  <c r="Q11" i="1"/>
  <c r="U11" i="1" s="1"/>
  <c r="BE11" i="1"/>
  <c r="AO11" i="1"/>
  <c r="AA11" i="1"/>
  <c r="W11" i="1"/>
  <c r="EB11" i="1"/>
  <c r="FM11" i="1" s="1"/>
  <c r="CX15" i="1"/>
  <c r="EY15" i="1" s="1"/>
  <c r="GJ15" i="1" s="1"/>
  <c r="EY13" i="1"/>
  <c r="GJ13" i="1" s="1"/>
  <c r="CX9" i="1"/>
  <c r="BC14" i="1"/>
  <c r="AI14" i="1"/>
  <c r="AU14" i="1"/>
  <c r="BG15" i="1"/>
  <c r="BA14" i="1"/>
  <c r="AO14" i="1"/>
  <c r="AA14" i="1"/>
  <c r="L14" i="1"/>
  <c r="CG14" i="1" s="1"/>
  <c r="BE14" i="1"/>
  <c r="GL21" i="1"/>
  <c r="CR17" i="1"/>
  <c r="CS17" i="1" s="1"/>
  <c r="CN21" i="1"/>
  <c r="CO21" i="1"/>
  <c r="FP21" i="1"/>
  <c r="CQ21" i="1"/>
  <c r="GA21" i="1"/>
  <c r="GQ21" i="1"/>
  <c r="FU21" i="1"/>
  <c r="GP21" i="1"/>
  <c r="GO21" i="1"/>
  <c r="GM21" i="1"/>
  <c r="GN21" i="1"/>
  <c r="AM13" i="1"/>
  <c r="K21" i="1"/>
  <c r="AM15" i="1"/>
  <c r="CR13" i="1"/>
  <c r="CS13" i="1" s="1"/>
  <c r="CJ12" i="1"/>
  <c r="EZ12" i="1" s="1"/>
  <c r="CP21" i="1"/>
  <c r="CJ18" i="1"/>
  <c r="EZ18" i="1" s="1"/>
  <c r="GK18" i="1" s="1"/>
  <c r="CI21" i="1"/>
  <c r="BG13" i="1"/>
  <c r="EY10" i="1"/>
  <c r="GJ10" i="1" s="1"/>
  <c r="EX13" i="1"/>
  <c r="GI13" i="1" s="1"/>
  <c r="M21" i="1"/>
  <c r="BG16" i="1"/>
  <c r="FR9" i="1"/>
  <c r="FR21" i="1" s="1"/>
  <c r="EG21" i="1"/>
  <c r="EF21" i="1"/>
  <c r="FQ9" i="1"/>
  <c r="GG9" i="1"/>
  <c r="GG21" i="1" s="1"/>
  <c r="EV21" i="1"/>
  <c r="BG18" i="1"/>
  <c r="CT12" i="1"/>
  <c r="U12" i="1"/>
  <c r="BA17" i="1"/>
  <c r="AS17" i="1"/>
  <c r="AE17" i="1"/>
  <c r="W17" i="1"/>
  <c r="Q17" i="1"/>
  <c r="AY17" i="1"/>
  <c r="AQ17" i="1"/>
  <c r="BE17" i="1"/>
  <c r="AW17" i="1"/>
  <c r="AO17" i="1"/>
  <c r="AI17" i="1"/>
  <c r="AA17" i="1"/>
  <c r="BC17" i="1"/>
  <c r="AU17" i="1"/>
  <c r="AG17" i="1"/>
  <c r="Y17" i="1"/>
  <c r="S17" i="1"/>
  <c r="L17" i="1"/>
  <c r="CG17" i="1" s="1"/>
  <c r="AK17" i="1"/>
  <c r="O17" i="1"/>
  <c r="AC17" i="1"/>
  <c r="FM10" i="1"/>
  <c r="AM18" i="1"/>
  <c r="U18" i="1"/>
  <c r="CR18" i="1"/>
  <c r="CS18" i="1" s="1"/>
  <c r="EX18" i="1"/>
  <c r="GI18" i="1" s="1"/>
  <c r="EY18" i="1"/>
  <c r="GJ18" i="1" s="1"/>
  <c r="U16" i="1"/>
  <c r="BG12" i="1"/>
  <c r="CX12" i="1"/>
  <c r="CV12" i="1"/>
  <c r="CW12" i="1"/>
  <c r="EB12" i="1"/>
  <c r="CU12" i="1"/>
  <c r="CT16" i="1"/>
  <c r="CR14" i="1"/>
  <c r="CS14" i="1" s="1"/>
  <c r="CT13" i="1"/>
  <c r="CR12" i="1"/>
  <c r="CR11" i="1"/>
  <c r="CS11" i="1" s="1"/>
  <c r="AM10" i="1"/>
  <c r="BG10" i="1"/>
  <c r="CJ10" i="1"/>
  <c r="FM13" i="1"/>
  <c r="CT18" i="1"/>
  <c r="FM18" i="1"/>
  <c r="AM16" i="1"/>
  <c r="CJ16" i="1"/>
  <c r="CT14" i="1"/>
  <c r="CT11" i="1"/>
  <c r="FM9" i="1"/>
  <c r="CT17" i="1"/>
  <c r="CT15" i="1"/>
  <c r="FQ12" i="1"/>
  <c r="AM12" i="1"/>
  <c r="CT10" i="1"/>
  <c r="EY14" i="1" l="1"/>
  <c r="GJ14" i="1" s="1"/>
  <c r="CJ11" i="1"/>
  <c r="U14" i="1"/>
  <c r="AE21" i="1"/>
  <c r="BG9" i="1"/>
  <c r="U9" i="1"/>
  <c r="AC21" i="1"/>
  <c r="BC21" i="1"/>
  <c r="AW21" i="1"/>
  <c r="AQ21" i="1"/>
  <c r="CY17" i="1"/>
  <c r="AM9" i="1"/>
  <c r="Y21" i="1"/>
  <c r="EY9" i="1"/>
  <c r="GJ9" i="1" s="1"/>
  <c r="S21" i="1"/>
  <c r="EW17" i="1"/>
  <c r="GH17" i="1" s="1"/>
  <c r="EY11" i="1"/>
  <c r="GJ11" i="1" s="1"/>
  <c r="EX16" i="1"/>
  <c r="GI16" i="1" s="1"/>
  <c r="CC15" i="1"/>
  <c r="AM11" i="1"/>
  <c r="EB21" i="1"/>
  <c r="AK21" i="1"/>
  <c r="AG21" i="1"/>
  <c r="AI21" i="1"/>
  <c r="BA21" i="1"/>
  <c r="EC15" i="1"/>
  <c r="FN15" i="1" s="1"/>
  <c r="EX9" i="1"/>
  <c r="GI9" i="1" s="1"/>
  <c r="CC13" i="1"/>
  <c r="EC13" i="1"/>
  <c r="FN13" i="1" s="1"/>
  <c r="DZ15" i="1"/>
  <c r="ER15" i="1" s="1" a="1"/>
  <c r="ER15" i="1" s="1"/>
  <c r="EC18" i="1"/>
  <c r="FN18" i="1" s="1"/>
  <c r="AA21" i="1"/>
  <c r="BE21" i="1"/>
  <c r="AS21" i="1"/>
  <c r="CE21" i="1"/>
  <c r="CJ14" i="1"/>
  <c r="EZ14" i="1" s="1"/>
  <c r="GK14" i="1" s="1"/>
  <c r="BG14" i="1"/>
  <c r="BG11" i="1"/>
  <c r="CC11" i="1" s="1"/>
  <c r="Q21" i="1"/>
  <c r="AM14" i="1"/>
  <c r="CU21" i="1"/>
  <c r="CV21" i="1"/>
  <c r="DZ13" i="1"/>
  <c r="EO13" i="1" s="1" a="1"/>
  <c r="EO13" i="1" s="1"/>
  <c r="CW21" i="1"/>
  <c r="CX21" i="1"/>
  <c r="O21" i="1"/>
  <c r="AU21" i="1"/>
  <c r="AO21" i="1"/>
  <c r="AY21" i="1"/>
  <c r="W21" i="1"/>
  <c r="CC16" i="1"/>
  <c r="CR21" i="1"/>
  <c r="CT21" i="1"/>
  <c r="EC16" i="1"/>
  <c r="FN16" i="1" s="1"/>
  <c r="CG21" i="1"/>
  <c r="DZ10" i="1"/>
  <c r="ER10" i="1" s="1" a="1"/>
  <c r="ER10" i="1" s="1"/>
  <c r="CC18" i="1"/>
  <c r="CJ17" i="1"/>
  <c r="DZ12" i="1"/>
  <c r="EK12" i="1" s="1" a="1"/>
  <c r="EK12" i="1" s="1"/>
  <c r="FQ21" i="1"/>
  <c r="L21" i="1"/>
  <c r="CY9" i="1"/>
  <c r="DS9" i="1" s="1"/>
  <c r="EW9" i="1"/>
  <c r="EW13" i="1"/>
  <c r="CY13" i="1"/>
  <c r="EW16" i="1"/>
  <c r="CY16" i="1"/>
  <c r="DU16" i="1" s="1"/>
  <c r="EZ11" i="1"/>
  <c r="GK11" i="1" s="1"/>
  <c r="CC12" i="1"/>
  <c r="U17" i="1"/>
  <c r="GK12" i="1"/>
  <c r="EW14" i="1"/>
  <c r="CY14" i="1"/>
  <c r="CY10" i="1"/>
  <c r="DU10" i="1" s="1"/>
  <c r="EW10" i="1"/>
  <c r="EW15" i="1"/>
  <c r="CY15" i="1"/>
  <c r="EZ16" i="1"/>
  <c r="GK16" i="1" s="1"/>
  <c r="CC10" i="1"/>
  <c r="EC10" i="1"/>
  <c r="EX12" i="1"/>
  <c r="DZ16" i="1"/>
  <c r="DZ18" i="1"/>
  <c r="AM17" i="1"/>
  <c r="CS12" i="1"/>
  <c r="CS21" i="1" s="1"/>
  <c r="FM12" i="1"/>
  <c r="FM21" i="1" s="1"/>
  <c r="EW18" i="1"/>
  <c r="CY18" i="1"/>
  <c r="DS18" i="1" s="1"/>
  <c r="EC12" i="1"/>
  <c r="EZ9" i="1"/>
  <c r="EW11" i="1"/>
  <c r="CY11" i="1"/>
  <c r="DS11" i="1" s="1"/>
  <c r="EZ10" i="1"/>
  <c r="GK10" i="1" s="1"/>
  <c r="EY12" i="1"/>
  <c r="BG17" i="1"/>
  <c r="DZ9" i="1" l="1"/>
  <c r="ED15" i="1" a="1"/>
  <c r="ED15" i="1" s="1"/>
  <c r="EC9" i="1"/>
  <c r="FN9" i="1" s="1"/>
  <c r="ES10" i="1" a="1"/>
  <c r="ES10" i="1" s="1"/>
  <c r="EY21" i="1"/>
  <c r="EC11" i="1"/>
  <c r="FN11" i="1" s="1"/>
  <c r="CC9" i="1"/>
  <c r="DT9" i="1" s="1"/>
  <c r="DY9" i="1" s="1"/>
  <c r="EH15" i="1" a="1"/>
  <c r="EH15" i="1" s="1"/>
  <c r="DZ11" i="1"/>
  <c r="EH11" i="1" s="1" a="1"/>
  <c r="EH11" i="1" s="1"/>
  <c r="EX21" i="1"/>
  <c r="EK15" i="1" a="1"/>
  <c r="EK15" i="1" s="1"/>
  <c r="EL15" i="1" a="1"/>
  <c r="EL15" i="1" s="1"/>
  <c r="DS14" i="1"/>
  <c r="EL13" i="1" a="1"/>
  <c r="EL13" i="1" s="1"/>
  <c r="EO10" i="1" a="1"/>
  <c r="EO10" i="1" s="1"/>
  <c r="ED12" i="1" a="1"/>
  <c r="ED12" i="1" s="1"/>
  <c r="EK10" i="1" a="1"/>
  <c r="EK10" i="1" s="1"/>
  <c r="ED10" i="1" a="1"/>
  <c r="ED10" i="1" s="1"/>
  <c r="EH12" i="1" a="1"/>
  <c r="EH12" i="1" s="1"/>
  <c r="CJ21" i="1"/>
  <c r="DS10" i="1"/>
  <c r="DT10" i="1" s="1"/>
  <c r="DY10" i="1" s="1"/>
  <c r="EZ17" i="1"/>
  <c r="GK17" i="1" s="1"/>
  <c r="GT17" i="1" s="1"/>
  <c r="EH13" i="1" a="1"/>
  <c r="EH13" i="1" s="1"/>
  <c r="EH10" i="1" a="1"/>
  <c r="EH10" i="1" s="1"/>
  <c r="EQ10" i="1" a="1"/>
  <c r="EQ10" i="1" s="1"/>
  <c r="EL10" i="1" a="1"/>
  <c r="EL10" i="1" s="1"/>
  <c r="ES12" i="1" a="1"/>
  <c r="ES12" i="1" s="1"/>
  <c r="EO12" i="1" a="1"/>
  <c r="EO12" i="1" s="1"/>
  <c r="DZ17" i="1"/>
  <c r="ER17" i="1" s="1" a="1"/>
  <c r="ER17" i="1" s="1"/>
  <c r="DU9" i="1"/>
  <c r="EK13" i="1" a="1"/>
  <c r="EK13" i="1" s="1"/>
  <c r="EQ13" i="1" a="1"/>
  <c r="EQ13" i="1" s="1"/>
  <c r="CC14" i="1"/>
  <c r="DT14" i="1" s="1"/>
  <c r="DY14" i="1" s="1"/>
  <c r="DZ14" i="1"/>
  <c r="EO14" i="1" s="1" a="1"/>
  <c r="EO14" i="1" s="1"/>
  <c r="DT11" i="1"/>
  <c r="DY11" i="1" s="1"/>
  <c r="EQ14" i="1" a="1"/>
  <c r="EQ14" i="1" s="1"/>
  <c r="DS17" i="1"/>
  <c r="AM21" i="1"/>
  <c r="ES15" i="1" a="1"/>
  <c r="ES15" i="1" s="1"/>
  <c r="EQ15" i="1" a="1"/>
  <c r="EQ15" i="1" s="1"/>
  <c r="EO15" i="1" a="1"/>
  <c r="EO15" i="1" s="1"/>
  <c r="EQ12" i="1" a="1"/>
  <c r="EQ12" i="1" s="1"/>
  <c r="EL12" i="1" a="1"/>
  <c r="EL12" i="1" s="1"/>
  <c r="EN12" i="1" s="1"/>
  <c r="ER12" i="1" a="1"/>
  <c r="ER12" i="1" s="1"/>
  <c r="EC14" i="1"/>
  <c r="FN14" i="1" s="1"/>
  <c r="DT18" i="1"/>
  <c r="DY18" i="1" s="1"/>
  <c r="DS16" i="1"/>
  <c r="DT16" i="1" s="1"/>
  <c r="DY16" i="1" s="1"/>
  <c r="ED13" i="1" a="1"/>
  <c r="ED13" i="1" s="1"/>
  <c r="ER13" i="1" a="1"/>
  <c r="ER13" i="1" s="1"/>
  <c r="ES13" i="1" a="1"/>
  <c r="ES13" i="1" s="1"/>
  <c r="DU17" i="1"/>
  <c r="CC17" i="1"/>
  <c r="GK9" i="1"/>
  <c r="BG21" i="1"/>
  <c r="U21" i="1"/>
  <c r="FI9" i="1"/>
  <c r="GH9" i="1"/>
  <c r="GH15" i="1"/>
  <c r="GT15" i="1" s="1"/>
  <c r="FI15" i="1"/>
  <c r="GJ12" i="1"/>
  <c r="GJ21" i="1" s="1"/>
  <c r="DU11" i="1"/>
  <c r="EW12" i="1"/>
  <c r="EW21" i="1" s="1"/>
  <c r="CY12" i="1"/>
  <c r="CY21" i="1" s="1"/>
  <c r="GH10" i="1"/>
  <c r="GT10" i="1" s="1"/>
  <c r="FI10" i="1"/>
  <c r="EL9" i="1" a="1"/>
  <c r="EL9" i="1" s="1"/>
  <c r="ED9" i="1" a="1"/>
  <c r="ED9" i="1" s="1"/>
  <c r="EH9" i="1" a="1"/>
  <c r="EH9" i="1" s="1"/>
  <c r="ER9" i="1" a="1"/>
  <c r="ER9" i="1" s="1"/>
  <c r="EK9" i="1" a="1"/>
  <c r="EK9" i="1" s="1"/>
  <c r="EQ9" i="1" a="1"/>
  <c r="EQ9" i="1" s="1"/>
  <c r="EO9" i="1" a="1"/>
  <c r="EO9" i="1" s="1"/>
  <c r="ES9" i="1" a="1"/>
  <c r="ES9" i="1" s="1"/>
  <c r="DU14" i="1"/>
  <c r="GH16" i="1"/>
  <c r="GT16" i="1" s="1"/>
  <c r="FI16" i="1"/>
  <c r="EQ11" i="1" a="1"/>
  <c r="EQ11" i="1" s="1"/>
  <c r="GI12" i="1"/>
  <c r="GI21" i="1" s="1"/>
  <c r="DU15" i="1"/>
  <c r="DS15" i="1"/>
  <c r="DT15" i="1" s="1"/>
  <c r="DS13" i="1"/>
  <c r="DT13" i="1" s="1"/>
  <c r="DU13" i="1"/>
  <c r="ED17" i="1" a="1"/>
  <c r="ED17" i="1" s="1"/>
  <c r="EQ17" i="1" a="1"/>
  <c r="EQ17" i="1" s="1"/>
  <c r="GH13" i="1"/>
  <c r="GT13" i="1" s="1"/>
  <c r="FI13" i="1"/>
  <c r="GH11" i="1"/>
  <c r="GT11" i="1" s="1"/>
  <c r="FI11" i="1"/>
  <c r="FN12" i="1"/>
  <c r="GH18" i="1"/>
  <c r="GT18" i="1" s="1"/>
  <c r="FI18" i="1"/>
  <c r="DU18" i="1"/>
  <c r="EC17" i="1"/>
  <c r="EK18" i="1" a="1"/>
  <c r="EK18" i="1" s="1"/>
  <c r="EH18" i="1" a="1"/>
  <c r="EH18" i="1" s="1"/>
  <c r="ER18" i="1" a="1"/>
  <c r="ER18" i="1" s="1"/>
  <c r="ED18" i="1" a="1"/>
  <c r="ED18" i="1" s="1"/>
  <c r="EO18" i="1" a="1"/>
  <c r="EO18" i="1" s="1"/>
  <c r="EL18" i="1" a="1"/>
  <c r="EL18" i="1" s="1"/>
  <c r="ES18" i="1" a="1"/>
  <c r="ES18" i="1" s="1"/>
  <c r="EQ18" i="1" a="1"/>
  <c r="EQ18" i="1" s="1"/>
  <c r="EO16" i="1" a="1"/>
  <c r="EO16" i="1" s="1"/>
  <c r="EL16" i="1" a="1"/>
  <c r="EL16" i="1" s="1"/>
  <c r="EK16" i="1" a="1"/>
  <c r="EK16" i="1" s="1"/>
  <c r="EH16" i="1" a="1"/>
  <c r="EH16" i="1" s="1"/>
  <c r="ER16" i="1" a="1"/>
  <c r="ER16" i="1" s="1"/>
  <c r="ED16" i="1" a="1"/>
  <c r="ED16" i="1" s="1"/>
  <c r="ES16" i="1" a="1"/>
  <c r="ES16" i="1" s="1"/>
  <c r="EQ16" i="1" a="1"/>
  <c r="EQ16" i="1" s="1"/>
  <c r="FN10" i="1"/>
  <c r="GH14" i="1"/>
  <c r="GT14" i="1" s="1"/>
  <c r="FI14" i="1"/>
  <c r="EL11" i="1" l="1" a="1"/>
  <c r="EL11" i="1" s="1"/>
  <c r="EK11" i="1" a="1"/>
  <c r="EK11" i="1" s="1"/>
  <c r="ER11" i="1" a="1"/>
  <c r="ER11" i="1" s="1"/>
  <c r="EM15" i="1"/>
  <c r="EH17" i="1" a="1"/>
  <c r="EH17" i="1" s="1"/>
  <c r="EL17" i="1" a="1"/>
  <c r="EL17" i="1" s="1"/>
  <c r="ED11" i="1" a="1"/>
  <c r="ED11" i="1" s="1"/>
  <c r="ES11" i="1" a="1"/>
  <c r="ES11" i="1" s="1"/>
  <c r="EO11" i="1" a="1"/>
  <c r="EO11" i="1" s="1"/>
  <c r="EM10" i="1"/>
  <c r="EM13" i="1"/>
  <c r="EN15" i="1"/>
  <c r="FZ15" i="1"/>
  <c r="ET10" i="1"/>
  <c r="EM12" i="1"/>
  <c r="GD15" i="1"/>
  <c r="GC15" i="1"/>
  <c r="EK17" i="1" a="1"/>
  <c r="EK17" i="1" s="1"/>
  <c r="ES17" i="1" a="1"/>
  <c r="ES17" i="1" s="1"/>
  <c r="ET17" i="1" s="1"/>
  <c r="EO17" i="1" a="1"/>
  <c r="EO17" i="1" s="1"/>
  <c r="GD13" i="1"/>
  <c r="FZ13" i="1"/>
  <c r="GB15" i="1"/>
  <c r="DZ21" i="1"/>
  <c r="GD10" i="1"/>
  <c r="EN13" i="1"/>
  <c r="GK21" i="1"/>
  <c r="DT17" i="1"/>
  <c r="DY17" i="1" s="1"/>
  <c r="EC21" i="1"/>
  <c r="GT9" i="1"/>
  <c r="ET13" i="1"/>
  <c r="GD12" i="1"/>
  <c r="GC12" i="1"/>
  <c r="GB13" i="1"/>
  <c r="FZ12" i="1"/>
  <c r="ET12" i="1"/>
  <c r="EU12" i="1" s="1"/>
  <c r="EN10" i="1"/>
  <c r="ET15" i="1"/>
  <c r="GB12" i="1"/>
  <c r="FZ10" i="1"/>
  <c r="GC10" i="1"/>
  <c r="GB10" i="1"/>
  <c r="FI17" i="1"/>
  <c r="EZ21" i="1"/>
  <c r="EH14" i="1" a="1"/>
  <c r="EH14" i="1" s="1"/>
  <c r="EK14" i="1" a="1"/>
  <c r="EK14" i="1" s="1"/>
  <c r="ER14" i="1" a="1"/>
  <c r="ER14" i="1" s="1"/>
  <c r="ER21" i="1" s="1"/>
  <c r="EL14" i="1" a="1"/>
  <c r="EL14" i="1" s="1"/>
  <c r="ED14" i="1" a="1"/>
  <c r="ED14" i="1" s="1"/>
  <c r="ES14" i="1" a="1"/>
  <c r="ES14" i="1" s="1"/>
  <c r="GC13" i="1"/>
  <c r="CC21" i="1"/>
  <c r="EN16" i="1"/>
  <c r="EM18" i="1"/>
  <c r="EQ21" i="1"/>
  <c r="FZ9" i="1"/>
  <c r="EN9" i="1"/>
  <c r="DY13" i="1"/>
  <c r="DY15" i="1"/>
  <c r="FN17" i="1"/>
  <c r="FN21" i="1" s="1"/>
  <c r="EM16" i="1"/>
  <c r="EN18" i="1"/>
  <c r="GH12" i="1"/>
  <c r="GH21" i="1" s="1"/>
  <c r="FI12" i="1"/>
  <c r="GC16" i="1"/>
  <c r="FZ16" i="1"/>
  <c r="FZ18" i="1"/>
  <c r="GD9" i="1"/>
  <c r="GC9" i="1"/>
  <c r="GB16" i="1"/>
  <c r="ET16" i="1"/>
  <c r="GB18" i="1"/>
  <c r="ET18" i="1"/>
  <c r="GD16" i="1"/>
  <c r="GD18" i="1"/>
  <c r="GC18" i="1"/>
  <c r="GB9" i="1"/>
  <c r="ET9" i="1"/>
  <c r="EM9" i="1"/>
  <c r="DS12" i="1"/>
  <c r="DU12" i="1"/>
  <c r="DU21" i="1" s="1"/>
  <c r="EN11" i="1" l="1"/>
  <c r="EU15" i="1"/>
  <c r="FJ15" i="1" s="1"/>
  <c r="ET11" i="1"/>
  <c r="EH21" i="1"/>
  <c r="GB11" i="1"/>
  <c r="EM11" i="1"/>
  <c r="GC11" i="1"/>
  <c r="EL21" i="1"/>
  <c r="ED21" i="1"/>
  <c r="FZ17" i="1"/>
  <c r="EO21" i="1"/>
  <c r="FZ11" i="1"/>
  <c r="GD11" i="1"/>
  <c r="GE15" i="1"/>
  <c r="EU10" i="1"/>
  <c r="FJ10" i="1" s="1"/>
  <c r="FV15" i="1"/>
  <c r="FW15" i="1"/>
  <c r="EK21" i="1"/>
  <c r="FS15" i="1"/>
  <c r="FO15" i="1"/>
  <c r="GD17" i="1"/>
  <c r="GC17" i="1"/>
  <c r="EM17" i="1"/>
  <c r="GB17" i="1"/>
  <c r="EN17" i="1"/>
  <c r="FW10" i="1"/>
  <c r="FO12" i="1"/>
  <c r="FV13" i="1"/>
  <c r="EU13" i="1"/>
  <c r="FJ13" i="1" s="1"/>
  <c r="FW12" i="1"/>
  <c r="FS12" i="1"/>
  <c r="EU16" i="1"/>
  <c r="FJ16" i="1" s="1"/>
  <c r="GE13" i="1"/>
  <c r="FV10" i="1"/>
  <c r="FS13" i="1"/>
  <c r="FO10" i="1"/>
  <c r="GE12" i="1"/>
  <c r="FV12" i="1"/>
  <c r="GE10" i="1"/>
  <c r="FO13" i="1"/>
  <c r="FW13" i="1"/>
  <c r="FS10" i="1"/>
  <c r="FI21" i="1"/>
  <c r="GD14" i="1"/>
  <c r="ES21" i="1"/>
  <c r="FZ14" i="1"/>
  <c r="EM14" i="1"/>
  <c r="ET14" i="1"/>
  <c r="GC14" i="1"/>
  <c r="EN14" i="1"/>
  <c r="GB14" i="1"/>
  <c r="EU9" i="1"/>
  <c r="FJ9" i="1" s="1"/>
  <c r="DT12" i="1"/>
  <c r="DT21" i="1" s="1"/>
  <c r="DS21" i="1"/>
  <c r="GE18" i="1"/>
  <c r="FS9" i="1"/>
  <c r="GE9" i="1"/>
  <c r="FO9" i="1"/>
  <c r="EU18" i="1"/>
  <c r="FJ18" i="1" s="1"/>
  <c r="FW9" i="1"/>
  <c r="FW16" i="1"/>
  <c r="FS16" i="1"/>
  <c r="FO16" i="1"/>
  <c r="FV16" i="1"/>
  <c r="GT12" i="1"/>
  <c r="GT21" i="1" s="1"/>
  <c r="FJ12" i="1"/>
  <c r="GE16" i="1"/>
  <c r="FW18" i="1"/>
  <c r="FS18" i="1"/>
  <c r="FO18" i="1"/>
  <c r="FV18" i="1"/>
  <c r="FV9" i="1"/>
  <c r="FY10" i="1" l="1"/>
  <c r="EU11" i="1"/>
  <c r="FJ11" i="1" s="1"/>
  <c r="ET21" i="1"/>
  <c r="GE11" i="1"/>
  <c r="EM21" i="1"/>
  <c r="FS11" i="1"/>
  <c r="FZ21" i="1"/>
  <c r="EU14" i="1"/>
  <c r="FJ14" i="1" s="1"/>
  <c r="FV11" i="1"/>
  <c r="FW11" i="1"/>
  <c r="FO11" i="1"/>
  <c r="FX15" i="1"/>
  <c r="FY15" i="1"/>
  <c r="GF15" i="1" s="1"/>
  <c r="GU15" i="1" s="1"/>
  <c r="GB21" i="1"/>
  <c r="GC21" i="1"/>
  <c r="FS17" i="1"/>
  <c r="FO17" i="1"/>
  <c r="FV17" i="1"/>
  <c r="GE17" i="1"/>
  <c r="FW17" i="1"/>
  <c r="GD21" i="1"/>
  <c r="EN21" i="1"/>
  <c r="EU17" i="1"/>
  <c r="FJ17" i="1" s="1"/>
  <c r="FY13" i="1"/>
  <c r="GF13" i="1" s="1"/>
  <c r="GU13" i="1" s="1"/>
  <c r="FY12" i="1"/>
  <c r="GF12" i="1" s="1"/>
  <c r="FX12" i="1"/>
  <c r="FX13" i="1"/>
  <c r="FX10" i="1"/>
  <c r="GE14" i="1"/>
  <c r="GF10" i="1"/>
  <c r="GU10" i="1" s="1"/>
  <c r="FS14" i="1"/>
  <c r="FW14" i="1"/>
  <c r="FO14" i="1"/>
  <c r="FV14" i="1"/>
  <c r="FX18" i="1"/>
  <c r="FY18" i="1"/>
  <c r="GF18" i="1" s="1"/>
  <c r="GU18" i="1" s="1"/>
  <c r="FX9" i="1"/>
  <c r="FX16" i="1"/>
  <c r="FY16" i="1"/>
  <c r="GF16" i="1" s="1"/>
  <c r="GU16" i="1" s="1"/>
  <c r="FY9" i="1"/>
  <c r="DY12" i="1"/>
  <c r="DY21" i="1" s="1"/>
  <c r="FV21" i="1" l="1"/>
  <c r="FY11" i="1"/>
  <c r="GF11" i="1" s="1"/>
  <c r="GU11" i="1" s="1"/>
  <c r="FJ21" i="1"/>
  <c r="GE21" i="1"/>
  <c r="FW21" i="1"/>
  <c r="FY17" i="1"/>
  <c r="GF17" i="1" s="1"/>
  <c r="GU17" i="1" s="1"/>
  <c r="FX11" i="1"/>
  <c r="FO21" i="1"/>
  <c r="FS21" i="1"/>
  <c r="FX17" i="1"/>
  <c r="EU21" i="1"/>
  <c r="FX14" i="1"/>
  <c r="FY14" i="1"/>
  <c r="GF14" i="1" s="1"/>
  <c r="GU14" i="1" s="1"/>
  <c r="GF9" i="1"/>
  <c r="GU12" i="1"/>
  <c r="FX21" i="1" l="1"/>
  <c r="FY21" i="1"/>
  <c r="GU9" i="1"/>
  <c r="GU21" i="1" s="1"/>
  <c r="GF21" i="1"/>
  <c r="HL12" i="3" l="1"/>
  <c r="EG12" i="3"/>
  <c r="EI12" i="3"/>
  <c r="EH12" i="3" l="1"/>
  <c r="EM12" i="3" l="1"/>
  <c r="HR12" i="3" s="1"/>
  <c r="HM12" i="3" l="1"/>
  <c r="DA15" i="3" l="1"/>
  <c r="DG15" i="3" s="1"/>
  <c r="I15" i="3"/>
  <c r="EG15" i="3" l="1"/>
  <c r="O15" i="3"/>
  <c r="M15" i="3"/>
  <c r="M24" i="3" s="1"/>
  <c r="DB15" i="3"/>
  <c r="CH15" i="3" l="1"/>
  <c r="CH24" i="3" s="1"/>
  <c r="BI15" i="3"/>
  <c r="BI24" i="3" s="1"/>
  <c r="BE15" i="3"/>
  <c r="BE24" i="3" s="1"/>
  <c r="BA15" i="3"/>
  <c r="BA24" i="3" s="1"/>
  <c r="AW15" i="3"/>
  <c r="AW24" i="3" s="1"/>
  <c r="AS15" i="3"/>
  <c r="AS24" i="3" s="1"/>
  <c r="AK15" i="3"/>
  <c r="AK24" i="3" s="1"/>
  <c r="AG15" i="3"/>
  <c r="AG24" i="3" s="1"/>
  <c r="AC15" i="3"/>
  <c r="AC24" i="3" s="1"/>
  <c r="Y15" i="3"/>
  <c r="Y24" i="3" s="1"/>
  <c r="U15" i="3"/>
  <c r="U24" i="3" s="1"/>
  <c r="Q15" i="3"/>
  <c r="Q24" i="3" s="1"/>
  <c r="BC15" i="3"/>
  <c r="BC24" i="3" s="1"/>
  <c r="AU15" i="3"/>
  <c r="AU24" i="3" s="1"/>
  <c r="AI15" i="3"/>
  <c r="AI24" i="3" s="1"/>
  <c r="AA15" i="3"/>
  <c r="AA24" i="3" s="1"/>
  <c r="S15" i="3"/>
  <c r="S24" i="3" s="1"/>
  <c r="BG15" i="3"/>
  <c r="BG24" i="3" s="1"/>
  <c r="AY15" i="3"/>
  <c r="AY24" i="3" s="1"/>
  <c r="AQ15" i="3"/>
  <c r="AQ24" i="3" s="1"/>
  <c r="AM15" i="3"/>
  <c r="AM24" i="3" s="1"/>
  <c r="AE15" i="3"/>
  <c r="AE24" i="3" s="1"/>
  <c r="EV24" i="3"/>
  <c r="GG24" i="3" s="1"/>
  <c r="EV15" i="3"/>
  <c r="GG15" i="3" s="1"/>
  <c r="EU24" i="3"/>
  <c r="GF24" i="3" s="1"/>
  <c r="EU15" i="3"/>
  <c r="GF15" i="3" s="1"/>
  <c r="DC15" i="3"/>
  <c r="N15" i="3"/>
  <c r="N24" i="3" s="1"/>
  <c r="FM15" i="3"/>
  <c r="EQ15" i="3"/>
  <c r="CL15" i="3" l="1"/>
  <c r="CL24" i="3" s="1"/>
  <c r="CJ15" i="3"/>
  <c r="AO15" i="3"/>
  <c r="AO24" i="3" s="1"/>
  <c r="BK15" i="3"/>
  <c r="BK24" i="3" s="1"/>
  <c r="W15" i="3"/>
  <c r="W24" i="3" s="1"/>
  <c r="GX15" i="3"/>
  <c r="GB15" i="3"/>
  <c r="CJ24" i="3" l="1"/>
  <c r="HQ15" i="3"/>
  <c r="CO15" i="3"/>
  <c r="CO24" i="3" s="1"/>
  <c r="ER24" i="3"/>
  <c r="EI15" i="3"/>
  <c r="ER15" i="3"/>
  <c r="CP15" i="3" l="1"/>
  <c r="HL15" i="3" s="1"/>
  <c r="GC24" i="3"/>
  <c r="FO15" i="3"/>
  <c r="EN15" i="3"/>
  <c r="EN24" i="3" s="1"/>
  <c r="HP15" i="3"/>
  <c r="EP15" i="3"/>
  <c r="GC15" i="3"/>
  <c r="EH15" i="3"/>
  <c r="EZ15" i="3" l="1" a="1"/>
  <c r="EZ15" i="3" s="1"/>
  <c r="FA15" i="3" a="1"/>
  <c r="FA15" i="3" s="1"/>
  <c r="FH15" i="3" a="1"/>
  <c r="FH15" i="3" s="1"/>
  <c r="ES15" i="3" a="1"/>
  <c r="ES15" i="3" s="1"/>
  <c r="EW15" i="3" a="1"/>
  <c r="EW15" i="3" s="1"/>
  <c r="FG15" i="3" a="1"/>
  <c r="FG15" i="3" s="1"/>
  <c r="FF15" i="3" a="1"/>
  <c r="FF15" i="3" s="1"/>
  <c r="FD15" i="3" a="1"/>
  <c r="FD15" i="3" s="1"/>
  <c r="EM15" i="3"/>
  <c r="HR15" i="3" s="1"/>
  <c r="FO24" i="3"/>
  <c r="EP24" i="3"/>
  <c r="GZ15" i="3"/>
  <c r="HI15" i="3" s="1"/>
  <c r="FX15" i="3"/>
  <c r="GO15" i="3" l="1"/>
  <c r="FC15" i="3"/>
  <c r="GR15" i="3"/>
  <c r="FB15" i="3"/>
  <c r="GZ24" i="3"/>
  <c r="HM15" i="3"/>
  <c r="EZ24" i="3" a="1"/>
  <c r="EZ24" i="3" s="1"/>
  <c r="FA24" i="3" a="1"/>
  <c r="FA24" i="3" s="1"/>
  <c r="FF24" i="3" a="1"/>
  <c r="FF24" i="3" s="1"/>
  <c r="FG24" i="3" a="1"/>
  <c r="FG24" i="3" s="1"/>
  <c r="ES24" i="3" a="1"/>
  <c r="ES24" i="3" s="1"/>
  <c r="FH24" i="3" a="1"/>
  <c r="FH24" i="3" s="1"/>
  <c r="EW24" i="3" a="1"/>
  <c r="EW24" i="3" s="1"/>
  <c r="FD24" i="3" a="1"/>
  <c r="FD24" i="3" s="1"/>
  <c r="FI15" i="3"/>
  <c r="GQ15" i="3"/>
  <c r="GS15" i="3"/>
  <c r="FJ15" i="3" l="1"/>
  <c r="FY15" i="3" s="1"/>
  <c r="FC24" i="3"/>
  <c r="GO24" i="3"/>
  <c r="GH15" i="3"/>
  <c r="GS24" i="3"/>
  <c r="GR24" i="3"/>
  <c r="GK15" i="3"/>
  <c r="GT15" i="3"/>
  <c r="FB24" i="3"/>
  <c r="FI24" i="3"/>
  <c r="GQ24" i="3"/>
  <c r="GD15" i="3"/>
  <c r="GL15" i="3"/>
  <c r="GT24" i="3" l="1"/>
  <c r="GN15" i="3"/>
  <c r="GU15" i="3" s="1"/>
  <c r="HJ15" i="3" s="1"/>
  <c r="GM15" i="3"/>
  <c r="GK24" i="3"/>
  <c r="GL24" i="3"/>
  <c r="GD24" i="3"/>
  <c r="GH24" i="3"/>
  <c r="GN24" i="3" l="1"/>
  <c r="GM24" i="3"/>
  <c r="DA16" i="3"/>
  <c r="I16" i="3"/>
  <c r="I24" i="3" s="1"/>
  <c r="DA24" i="3" l="1"/>
  <c r="DG16" i="3"/>
  <c r="DG24" i="3" s="1"/>
  <c r="DB16" i="3"/>
  <c r="DB24" i="3" s="1"/>
  <c r="O16" i="3"/>
  <c r="DC16" i="3" l="1"/>
  <c r="DC24" i="3" s="1"/>
  <c r="EQ16" i="3"/>
  <c r="FJ16" i="3" s="1"/>
  <c r="O24" i="3"/>
  <c r="EQ24" i="3" s="1"/>
  <c r="GB24" i="3" s="1"/>
  <c r="GU24" i="3" s="1"/>
  <c r="CP16" i="3"/>
  <c r="EI16" i="3"/>
  <c r="EI24" i="3" s="1"/>
  <c r="FM24" i="3"/>
  <c r="FX24" i="3" s="1"/>
  <c r="FM16" i="3"/>
  <c r="FX16" i="3" s="1"/>
  <c r="FY16" i="3" s="1"/>
  <c r="EG16" i="3"/>
  <c r="EG24" i="3" s="1"/>
  <c r="GB16" i="3" l="1"/>
  <c r="GU16" i="3" s="1"/>
  <c r="GX16" i="3"/>
  <c r="HI16" i="3" s="1"/>
  <c r="FJ24" i="3"/>
  <c r="FY24" i="3" s="1"/>
  <c r="HL16" i="3"/>
  <c r="CP24" i="3"/>
  <c r="HL24" i="3" s="1"/>
  <c r="GX24" i="3"/>
  <c r="HI24" i="3" s="1"/>
  <c r="HJ24" i="3" s="1"/>
  <c r="EH16" i="3"/>
  <c r="EH24" i="3" s="1"/>
  <c r="HJ16" i="3" l="1"/>
  <c r="EM16" i="3"/>
  <c r="HR16" i="3" s="1"/>
  <c r="HM16" i="3" l="1"/>
  <c r="EM24" i="3"/>
  <c r="HM24" i="3" s="1"/>
</calcChain>
</file>

<file path=xl/comments1.xml><?xml version="1.0" encoding="utf-8"?>
<comments xmlns="http://schemas.openxmlformats.org/spreadsheetml/2006/main">
  <authors>
    <author>nancys</author>
    <author>HR_PHEAD</author>
  </authors>
  <commentList>
    <comment ref="BR9" authorId="0" shapeId="0">
      <text>
        <r>
          <rPr>
            <b/>
            <sz val="9"/>
            <color indexed="81"/>
            <rFont val="Tahoma"/>
            <charset val="1"/>
          </rPr>
          <t>nancys:</t>
        </r>
        <r>
          <rPr>
            <sz val="9"/>
            <color indexed="81"/>
            <rFont val="Tahoma"/>
            <charset val="1"/>
          </rPr>
          <t xml:space="preserve">
3.17-18.23</t>
        </r>
      </text>
    </comment>
    <comment ref="DW9" authorId="0" shapeId="0">
      <text>
        <r>
          <rPr>
            <b/>
            <sz val="9"/>
            <color indexed="81"/>
            <rFont val="Tahoma"/>
            <charset val="1"/>
          </rPr>
          <t>nancys:</t>
        </r>
        <r>
          <rPr>
            <sz val="9"/>
            <color indexed="81"/>
            <rFont val="Tahoma"/>
            <charset val="1"/>
          </rPr>
          <t xml:space="preserve">
3.15.23
HDMF RELOAN</t>
        </r>
      </text>
    </comment>
    <comment ref="EA86" authorId="1" shapeId="0">
      <text>
        <r>
          <rPr>
            <b/>
            <sz val="9"/>
            <color indexed="81"/>
            <rFont val="Tahoma"/>
            <family val="2"/>
          </rPr>
          <t>HR_PHEAD:</t>
        </r>
        <r>
          <rPr>
            <sz val="9"/>
            <color indexed="81"/>
            <rFont val="Tahoma"/>
            <family val="2"/>
          </rPr>
          <t xml:space="preserve">
Hasim @ Bajada 46.46
</t>
        </r>
      </text>
    </comment>
    <comment ref="EC86" authorId="1" shapeId="0">
      <text>
        <r>
          <rPr>
            <b/>
            <sz val="9"/>
            <color indexed="81"/>
            <rFont val="Tahoma"/>
            <family val="2"/>
          </rPr>
          <t>HR_PHEAD:</t>
        </r>
        <r>
          <rPr>
            <sz val="9"/>
            <color indexed="81"/>
            <rFont val="Tahoma"/>
            <family val="2"/>
          </rPr>
          <t xml:space="preserve">
Hasim @ Bajada</t>
        </r>
      </text>
    </comment>
  </commentList>
</comments>
</file>

<file path=xl/comments2.xml><?xml version="1.0" encoding="utf-8"?>
<comments xmlns="http://schemas.openxmlformats.org/spreadsheetml/2006/main">
  <authors>
    <author>nancys</author>
  </authors>
  <commentList>
    <comment ref="C29" authorId="0" shapeId="0">
      <text>
        <r>
          <rPr>
            <b/>
            <sz val="9"/>
            <color indexed="81"/>
            <rFont val="Tahoma"/>
            <charset val="1"/>
          </rPr>
          <t>nancys:</t>
        </r>
        <r>
          <rPr>
            <sz val="9"/>
            <color indexed="81"/>
            <rFont val="Tahoma"/>
            <charset val="1"/>
          </rPr>
          <t xml:space="preserve">
SETTLEMENT</t>
        </r>
      </text>
    </comment>
  </commentList>
</comments>
</file>

<file path=xl/sharedStrings.xml><?xml version="1.0" encoding="utf-8"?>
<sst xmlns="http://schemas.openxmlformats.org/spreadsheetml/2006/main" count="801" uniqueCount="258">
  <si>
    <t>YEAR TO DATE</t>
  </si>
  <si>
    <t>OVERTIME</t>
  </si>
  <si>
    <t>Rest Day</t>
  </si>
  <si>
    <t>H                                O                                    L                                    I                                      D                                   A                                      Y</t>
  </si>
  <si>
    <t>N           I            G            H           T                      D            I           F           F           E           R           E           N           T           I           A           L</t>
  </si>
  <si>
    <t>LEAVE WITH PAY</t>
  </si>
  <si>
    <t>TAX / NON-TAXABLE</t>
  </si>
  <si>
    <t>RENAME</t>
  </si>
  <si>
    <t>Type 1 to Enable , 0 to Disable</t>
  </si>
  <si>
    <t>D E D U C T I O N S</t>
  </si>
  <si>
    <t>Type 1 to Enable, Type 0 to Disable</t>
  </si>
  <si>
    <t>Regular Overtime (125%)</t>
  </si>
  <si>
    <t>Rest Day / Day-off (130%)</t>
  </si>
  <si>
    <t>Rest Day / Day-off Excess                  (169%)</t>
  </si>
  <si>
    <t>Total Employee Rest Day</t>
  </si>
  <si>
    <t>Special Holiday (30%, Special Holiday is add to Number of Working Days)</t>
  </si>
  <si>
    <t>Special Holiday Excess                 (169%)</t>
  </si>
  <si>
    <t>Special Holiday + Day-off (50% Special Holiday is automatically add to Number of Work Days)</t>
  </si>
  <si>
    <t>Special Holiday + Day-off Excess (195%)</t>
  </si>
  <si>
    <t>Legal/Regular Holiday (200%) (Double Pay)</t>
  </si>
  <si>
    <t>Legal/Regular Holiday Excess (260%)</t>
  </si>
  <si>
    <t>Legal/Regular Holiday Day-off (260%)</t>
  </si>
  <si>
    <t>Legal/Regular Holiday Day-off Excess (338%)</t>
  </si>
  <si>
    <t>Total Employee Holiday</t>
  </si>
  <si>
    <t>Night Differential on Regular working day (10%)</t>
  </si>
  <si>
    <t>Night Differential Overtime on Regular working day                (125% x 10%)</t>
  </si>
  <si>
    <t>Night Differential on Regular Holiday        (200% x 10%)</t>
  </si>
  <si>
    <t>Night Differential Overtime on Regular Holiday                                             (260% x 10%)</t>
  </si>
  <si>
    <t>Night Differential Overtime on Rest Day Regular Holiday                                        (338% x 10%)</t>
  </si>
  <si>
    <t>Night Differential on Special Holiday/Night Differential on Rest Day                                                               (130% x 10%)</t>
  </si>
  <si>
    <t>Night Differential Overtime on Special Holiday/Night Differential Overtime on Rest Day                                       (169% x 10%)</t>
  </si>
  <si>
    <t>Night Differential Special Holiday Rest Day                                                  (150% x 10%)</t>
  </si>
  <si>
    <t>Night Differential Overtime on Special Holiday Rest Day                 (195% x 10%)</t>
  </si>
  <si>
    <t>Total Night Differentials</t>
  </si>
  <si>
    <t>Others</t>
  </si>
  <si>
    <t>Beginning</t>
  </si>
  <si>
    <t>Credits</t>
  </si>
  <si>
    <t>Taken</t>
  </si>
  <si>
    <t>End</t>
  </si>
  <si>
    <t>Leave W/ Pay             Amount (for daily based employees)</t>
  </si>
  <si>
    <t>Incentives</t>
  </si>
  <si>
    <t>BONUS</t>
  </si>
  <si>
    <t>COLA (Cost Of Living Allowance)</t>
  </si>
  <si>
    <t>Commision</t>
  </si>
  <si>
    <t>Hazzard Pay</t>
  </si>
  <si>
    <t>Allowances</t>
  </si>
  <si>
    <t>De Minimis</t>
  </si>
  <si>
    <t>Other Additional (Taxable)</t>
  </si>
  <si>
    <t>Total Gross Pay</t>
  </si>
  <si>
    <t>Late (Hour Based)</t>
  </si>
  <si>
    <t>Late (Minute Based)</t>
  </si>
  <si>
    <t>ABSENT</t>
  </si>
  <si>
    <t>Total Tardiness</t>
  </si>
  <si>
    <r>
      <t xml:space="preserve">201               </t>
    </r>
    <r>
      <rPr>
        <b/>
        <sz val="26"/>
        <color indexed="8"/>
        <rFont val="Calibri"/>
        <family val="2"/>
        <scheme val="minor"/>
      </rPr>
      <t>File</t>
    </r>
  </si>
  <si>
    <t xml:space="preserve">SSS Contribution (Monthly Basic Pay Based) </t>
  </si>
  <si>
    <t xml:space="preserve">SSS Contribution                              (Semi-Monthly Basic Pay Based)                      </t>
  </si>
  <si>
    <t>SSS Contribution (Gross Monthly Basic Pay Based)                                     (1st Cut-off + 2nd Cut off)</t>
  </si>
  <si>
    <t xml:space="preserve">SSS Contribution (Gross Semi-Monthly Basic Pay Based) </t>
  </si>
  <si>
    <t>SSS Providient Fund</t>
  </si>
  <si>
    <t>TOTAL SSS CONTRIBUTION (EMPLOYEE)</t>
  </si>
  <si>
    <t>SSS CONTRIBUTION (EMPLOYER)</t>
  </si>
  <si>
    <t xml:space="preserve">PHIC Contribution (Monthly Basic Pay Based)                      </t>
  </si>
  <si>
    <t>PHIC Contribution (Semi-Monthly Basic Pay Based) (0.75% Employee)</t>
  </si>
  <si>
    <t>PAGIBIG Contribution (Monthly Based)</t>
  </si>
  <si>
    <t>PAGIBIG Contribution (Semi-Monthly Based)</t>
  </si>
  <si>
    <t>Total Government Deductions</t>
  </si>
  <si>
    <t>Government Loans</t>
  </si>
  <si>
    <t>Other Loans</t>
  </si>
  <si>
    <t>Adjustment / Refund</t>
  </si>
  <si>
    <t>Total Refund</t>
  </si>
  <si>
    <t>Other Deductions 1</t>
  </si>
  <si>
    <t>Other Deductions 2</t>
  </si>
  <si>
    <t>Other Deductions 3</t>
  </si>
  <si>
    <t>Total Deductions</t>
  </si>
  <si>
    <t>Amount Due</t>
  </si>
  <si>
    <t>Taxable Income</t>
  </si>
  <si>
    <t xml:space="preserve"> WITHHOLDING TAX BASED ON BASIC PAY</t>
  </si>
  <si>
    <t>WITHHOLDING TAX BASED ON Taxable Income</t>
  </si>
  <si>
    <t>WITHHOLDING TAX BASED ON NET PAY</t>
  </si>
  <si>
    <t>NET PAY</t>
  </si>
  <si>
    <t>13Th Month</t>
  </si>
  <si>
    <t>T A X A B L E</t>
  </si>
  <si>
    <t>EXCESS OF 90,000.00 LIMIT</t>
  </si>
  <si>
    <t xml:space="preserve">NON-TAXABLE </t>
  </si>
  <si>
    <t>DEDUCTIONS</t>
  </si>
  <si>
    <t>LOANS</t>
  </si>
  <si>
    <t>#</t>
  </si>
  <si>
    <t>Name of Employees</t>
  </si>
  <si>
    <t>Department</t>
  </si>
  <si>
    <t>Employee Number</t>
  </si>
  <si>
    <t>Position</t>
  </si>
  <si>
    <t>Status</t>
  </si>
  <si>
    <t>Monthly salary</t>
  </si>
  <si>
    <t>Semi-Monthly Salary</t>
  </si>
  <si>
    <t>Days of Work</t>
  </si>
  <si>
    <t>Daily Rate Salary</t>
  </si>
  <si>
    <t>Hourly Rate</t>
  </si>
  <si>
    <t>Minute Rate</t>
  </si>
  <si>
    <t>Basic Pay</t>
  </si>
  <si>
    <t>Hrs</t>
  </si>
  <si>
    <t>Amount</t>
  </si>
  <si>
    <t>Hrs.</t>
  </si>
  <si>
    <t>Sick</t>
  </si>
  <si>
    <t>Vacation</t>
  </si>
  <si>
    <t>Days</t>
  </si>
  <si>
    <t>SSS#</t>
  </si>
  <si>
    <t>PHIC#</t>
  </si>
  <si>
    <t>HDMF#</t>
  </si>
  <si>
    <t>SSS Salary Loan</t>
  </si>
  <si>
    <t>SSS Calamity Loan</t>
  </si>
  <si>
    <t>HDMF Loans</t>
  </si>
  <si>
    <t>Total</t>
  </si>
  <si>
    <t>Company Loans</t>
  </si>
  <si>
    <t>OTHER 2</t>
  </si>
  <si>
    <t>OTHER 3</t>
  </si>
  <si>
    <t>SSS</t>
  </si>
  <si>
    <t>PHIC</t>
  </si>
  <si>
    <t>HDMF</t>
  </si>
  <si>
    <t>Payroll Adjustment</t>
  </si>
  <si>
    <t>Overtime</t>
  </si>
  <si>
    <t>13TH MONTH</t>
  </si>
  <si>
    <t>INCENTIVE</t>
  </si>
  <si>
    <t>SICK</t>
  </si>
  <si>
    <t>VACATION</t>
  </si>
  <si>
    <t>COLA</t>
  </si>
  <si>
    <t>COMMISSION</t>
  </si>
  <si>
    <t>ALLOWANCES</t>
  </si>
  <si>
    <t>OTHERS</t>
  </si>
  <si>
    <t>TOTAL</t>
  </si>
  <si>
    <t>DE MINIMIS</t>
  </si>
  <si>
    <t>GROSS PAY</t>
  </si>
  <si>
    <t>W/H TAX</t>
  </si>
  <si>
    <t>PHILHEALTH</t>
  </si>
  <si>
    <t>PAG-IBIG</t>
  </si>
  <si>
    <t>TARDINESS</t>
  </si>
  <si>
    <t>HDMF Loan</t>
  </si>
  <si>
    <t>Company</t>
  </si>
  <si>
    <t>Other 1</t>
  </si>
  <si>
    <t>Other 2</t>
  </si>
  <si>
    <t>Other 3</t>
  </si>
  <si>
    <t>TOTAL DEDUCTION</t>
  </si>
  <si>
    <t>emp-001</t>
  </si>
  <si>
    <t>Single</t>
  </si>
  <si>
    <t>CUT-OFF PERIOD</t>
  </si>
  <si>
    <t>PAYROLL PERIOD</t>
  </si>
  <si>
    <t>EMF</t>
  </si>
  <si>
    <t>JATHNIER CORPORATION</t>
  </si>
  <si>
    <t>March 21 - Apr 05, 2021</t>
  </si>
  <si>
    <t>Lapada, Analyn Sollano</t>
  </si>
  <si>
    <t>Marsola, Ricky Rapista</t>
  </si>
  <si>
    <t>Tayo, Almera Wong</t>
  </si>
  <si>
    <t>Buyco, Analyn Pulmores</t>
  </si>
  <si>
    <t>Matucol, Decem Grace Alimbon</t>
  </si>
  <si>
    <t>Efren, Rosemarie</t>
  </si>
  <si>
    <t>Patola, Melvin</t>
  </si>
  <si>
    <t>Molina , Jonnel Gamboa</t>
  </si>
  <si>
    <t>Relatado, Gerry Jr.</t>
  </si>
  <si>
    <t>Moya, Ria Jeane D.</t>
  </si>
  <si>
    <t>Camia,Bienvenido</t>
  </si>
  <si>
    <t xml:space="preserve">FINANCE </t>
  </si>
  <si>
    <t>Inventory Analyst</t>
  </si>
  <si>
    <t>Umayam, Joynalyn D.</t>
  </si>
  <si>
    <t>Mins</t>
  </si>
  <si>
    <t>Undertime (Minute Based)</t>
  </si>
  <si>
    <t>SSS Contribution (Gross Monthly Pay Based)                                     (1st Cut-off + 2nd Cut off)</t>
  </si>
  <si>
    <t>HDMF Salary Loan</t>
  </si>
  <si>
    <t>HDMF Calamity Loan</t>
  </si>
  <si>
    <t>Payroll Settlement -Addition</t>
  </si>
  <si>
    <t>Payroll Settlement-Deduction</t>
  </si>
  <si>
    <t>TIN</t>
  </si>
  <si>
    <t>SW</t>
  </si>
  <si>
    <t>456-025-461-000</t>
  </si>
  <si>
    <t>368-150-266-000</t>
  </si>
  <si>
    <t>352-399-188-000</t>
  </si>
  <si>
    <t>716-242-431-000</t>
  </si>
  <si>
    <t>466-592-722-000</t>
  </si>
  <si>
    <t>HR Manager</t>
  </si>
  <si>
    <t>Night Differential Special Holiday + Rest Day                                                  (150% x 10%)</t>
  </si>
  <si>
    <t>Personal Charges</t>
  </si>
  <si>
    <t>Inventory Charges</t>
  </si>
  <si>
    <t>Raw Material Charges</t>
  </si>
  <si>
    <t>Infractions</t>
  </si>
  <si>
    <t>Total Charges</t>
  </si>
  <si>
    <t>Night Differential  Regular Holiday  on  Rest Day  (260% x 10%)</t>
  </si>
  <si>
    <t>Night Differential on Special Holiday/Night Differential on Rest Day  (130% x 10%)</t>
  </si>
  <si>
    <t>LOGISTICS</t>
  </si>
  <si>
    <t>Enitity</t>
  </si>
  <si>
    <t>Logistics</t>
  </si>
  <si>
    <t>Villabito, Jestony G</t>
  </si>
  <si>
    <t>In-charge</t>
  </si>
  <si>
    <t>Driver</t>
  </si>
  <si>
    <t>Sulutan , Julius Sr.</t>
  </si>
  <si>
    <t>Cabamongan, Rowel</t>
  </si>
  <si>
    <t>Sakay, Mark Ryan</t>
  </si>
  <si>
    <t>NC</t>
  </si>
  <si>
    <t>JC</t>
  </si>
  <si>
    <t>LIZAFEL F. RIVERA</t>
  </si>
  <si>
    <t>Delivery Helper</t>
  </si>
  <si>
    <t>SSS MONTHLY CONTRIBUTION</t>
  </si>
  <si>
    <t>PHIC MONTHLY CONTRIBUTION</t>
  </si>
  <si>
    <t>PAG-IBIG MONTHLY CONTRIBUTION</t>
  </si>
  <si>
    <t>EE</t>
  </si>
  <si>
    <t>ER</t>
  </si>
  <si>
    <t>EC</t>
  </si>
  <si>
    <t>Labadan, Tedi Louie</t>
  </si>
  <si>
    <t>Valmoria, Julius</t>
  </si>
  <si>
    <t>Staggered Payment</t>
  </si>
  <si>
    <t>Present Days</t>
  </si>
  <si>
    <t>1</t>
  </si>
  <si>
    <t>3</t>
  </si>
  <si>
    <t>4</t>
  </si>
  <si>
    <t>5</t>
  </si>
  <si>
    <t>6</t>
  </si>
  <si>
    <t>8</t>
  </si>
  <si>
    <t>Ebojo, Joreme</t>
  </si>
  <si>
    <t>201               File</t>
  </si>
  <si>
    <t>Prepared By;</t>
  </si>
  <si>
    <t>Reviewd By:</t>
  </si>
  <si>
    <t>Lagasan, Rosman</t>
  </si>
  <si>
    <t>Seclon, Kyl Reynald</t>
  </si>
  <si>
    <t>Iranon, Jason</t>
  </si>
  <si>
    <t>7</t>
  </si>
  <si>
    <t>9</t>
  </si>
  <si>
    <t>10</t>
  </si>
  <si>
    <t>11</t>
  </si>
  <si>
    <t>2</t>
  </si>
  <si>
    <t>Tangcay, Erwin</t>
  </si>
  <si>
    <t>12</t>
  </si>
  <si>
    <t>Abelgas, Jemry</t>
  </si>
  <si>
    <t>Monreal, Andy</t>
  </si>
  <si>
    <t>Mencedez, Raffy</t>
  </si>
  <si>
    <t>Austria, Michael</t>
  </si>
  <si>
    <t>Garceniego, Mailyn</t>
  </si>
  <si>
    <t>Logistics Assistant</t>
  </si>
  <si>
    <t>13</t>
  </si>
  <si>
    <t>14</t>
  </si>
  <si>
    <t>15</t>
  </si>
  <si>
    <t>Charges</t>
  </si>
  <si>
    <t>13th mo</t>
  </si>
  <si>
    <t>Account</t>
  </si>
  <si>
    <t>GP</t>
  </si>
  <si>
    <t>GA-S&amp;W</t>
  </si>
  <si>
    <t>Grand Total</t>
  </si>
  <si>
    <t>Class</t>
  </si>
  <si>
    <t>Sum of GP</t>
  </si>
  <si>
    <t>Sum of Charges</t>
  </si>
  <si>
    <t>Sum of 13th mo</t>
  </si>
  <si>
    <t>Logistics payroll for the period Jan 21-Feb 05, 2023</t>
  </si>
  <si>
    <t>Health Card</t>
  </si>
  <si>
    <t>NANCY R. BALURAN</t>
  </si>
  <si>
    <t>HR-BenCom Supervisor</t>
  </si>
  <si>
    <t>Mar 6-20, 2023</t>
  </si>
  <si>
    <t>Sum of EE</t>
  </si>
  <si>
    <t>Sum of ER</t>
  </si>
  <si>
    <t>NET</t>
  </si>
  <si>
    <t>Prepared by:</t>
  </si>
  <si>
    <t>Mayca Gallega</t>
  </si>
  <si>
    <t>HR-Payroll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</si>
</sst>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.00_-;\-* #,##0.00_-;_-* &quot;-&quot;??_-;_-@_-"/>
    <numFmt numFmtId="165" formatCode="[$Php-3409]#,##0.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48"/>
      <name val="Arial"/>
      <family val="2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name val="Calibri"/>
      <family val="2"/>
      <scheme val="minor"/>
    </font>
    <font>
      <sz val="2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48"/>
      <name val="Calibri"/>
      <family val="2"/>
      <scheme val="minor"/>
    </font>
    <font>
      <b/>
      <sz val="36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0.5"/>
      <name val="Calibri"/>
      <family val="2"/>
      <scheme val="minor"/>
    </font>
    <font>
      <b/>
      <sz val="10.5"/>
      <name val="Arial"/>
      <family val="2"/>
    </font>
    <font>
      <sz val="10.5"/>
      <name val="Arial"/>
      <family val="2"/>
    </font>
    <font>
      <b/>
      <sz val="10.5"/>
      <name val="Calibri"/>
      <family val="2"/>
      <scheme val="minor"/>
    </font>
    <font>
      <sz val="10.5"/>
      <color rgb="FFFF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00206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0" borderId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0"/>
    <xf numFmtId="165" fontId="33" fillId="0" borderId="0"/>
    <xf numFmtId="164" fontId="32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27">
    <xf numFmtId="0" fontId="0" fillId="0" borderId="0" xfId="0"/>
    <xf numFmtId="0" fontId="0" fillId="0" borderId="0" xfId="0" quotePrefix="1"/>
    <xf numFmtId="1" fontId="3" fillId="0" borderId="0" xfId="1" applyNumberFormat="1"/>
    <xf numFmtId="43" fontId="3" fillId="0" borderId="0" xfId="1" applyNumberFormat="1"/>
    <xf numFmtId="43" fontId="3" fillId="0" borderId="0" xfId="1" applyNumberFormat="1" applyAlignment="1">
      <alignment horizontal="center"/>
    </xf>
    <xf numFmtId="0" fontId="3" fillId="0" borderId="0" xfId="1"/>
    <xf numFmtId="0" fontId="3" fillId="2" borderId="0" xfId="1" applyFill="1"/>
    <xf numFmtId="43" fontId="3" fillId="0" borderId="0" xfId="1" quotePrefix="1" applyNumberFormat="1"/>
    <xf numFmtId="43" fontId="3" fillId="0" borderId="0" xfId="1" quotePrefix="1" applyNumberFormat="1" applyAlignment="1">
      <alignment horizontal="center"/>
    </xf>
    <xf numFmtId="1" fontId="5" fillId="0" borderId="0" xfId="1" applyNumberFormat="1" applyFont="1" applyAlignment="1">
      <alignment vertical="center"/>
    </xf>
    <xf numFmtId="43" fontId="5" fillId="0" borderId="0" xfId="1" applyNumberFormat="1" applyFont="1" applyAlignment="1">
      <alignment vertical="center"/>
    </xf>
    <xf numFmtId="43" fontId="5" fillId="0" borderId="0" xfId="1" applyNumberFormat="1" applyFont="1" applyAlignment="1">
      <alignment horizontal="center" vertical="center"/>
    </xf>
    <xf numFmtId="43" fontId="11" fillId="0" borderId="2" xfId="1" applyNumberFormat="1" applyFont="1" applyBorder="1" applyAlignment="1">
      <alignment horizontal="center" vertical="center" wrapText="1"/>
    </xf>
    <xf numFmtId="43" fontId="12" fillId="0" borderId="0" xfId="1" applyNumberFormat="1" applyFont="1" applyBorder="1" applyAlignment="1">
      <alignment horizontal="center" vertical="center" wrapText="1"/>
    </xf>
    <xf numFmtId="43" fontId="2" fillId="0" borderId="0" xfId="1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43" fontId="3" fillId="0" borderId="0" xfId="1" quotePrefix="1" applyNumberFormat="1" applyAlignment="1">
      <alignment vertical="center"/>
    </xf>
    <xf numFmtId="0" fontId="3" fillId="0" borderId="0" xfId="1" applyAlignment="1">
      <alignment vertical="center"/>
    </xf>
    <xf numFmtId="1" fontId="5" fillId="0" borderId="37" xfId="1" applyNumberFormat="1" applyFont="1" applyBorder="1"/>
    <xf numFmtId="43" fontId="5" fillId="0" borderId="35" xfId="1" applyNumberFormat="1" applyFont="1" applyBorder="1"/>
    <xf numFmtId="43" fontId="5" fillId="0" borderId="35" xfId="1" applyNumberFormat="1" applyFont="1" applyBorder="1" applyAlignment="1">
      <alignment horizontal="center"/>
    </xf>
    <xf numFmtId="43" fontId="5" fillId="2" borderId="35" xfId="1" applyNumberFormat="1" applyFont="1" applyFill="1" applyBorder="1"/>
    <xf numFmtId="43" fontId="5" fillId="2" borderId="34" xfId="1" applyNumberFormat="1" applyFont="1" applyFill="1" applyBorder="1"/>
    <xf numFmtId="43" fontId="5" fillId="0" borderId="35" xfId="1" applyNumberFormat="1" applyFont="1" applyFill="1" applyBorder="1"/>
    <xf numFmtId="1" fontId="5" fillId="2" borderId="35" xfId="1" applyNumberFormat="1" applyFont="1" applyFill="1" applyBorder="1" applyAlignment="1">
      <alignment horizontal="center"/>
    </xf>
    <xf numFmtId="43" fontId="5" fillId="0" borderId="34" xfId="1" applyNumberFormat="1" applyFont="1" applyBorder="1"/>
    <xf numFmtId="43" fontId="5" fillId="2" borderId="38" xfId="1" applyNumberFormat="1" applyFont="1" applyFill="1" applyBorder="1"/>
    <xf numFmtId="43" fontId="5" fillId="2" borderId="22" xfId="1" applyNumberFormat="1" applyFont="1" applyFill="1" applyBorder="1"/>
    <xf numFmtId="164" fontId="5" fillId="2" borderId="25" xfId="1" applyNumberFormat="1" applyFont="1" applyFill="1" applyBorder="1"/>
    <xf numFmtId="43" fontId="3" fillId="2" borderId="39" xfId="1" applyNumberFormat="1" applyFill="1" applyBorder="1"/>
    <xf numFmtId="43" fontId="3" fillId="2" borderId="22" xfId="1" applyNumberFormat="1" applyFill="1" applyBorder="1"/>
    <xf numFmtId="43" fontId="3" fillId="2" borderId="25" xfId="1" applyNumberFormat="1" applyFill="1" applyBorder="1"/>
    <xf numFmtId="164" fontId="3" fillId="0" borderId="0" xfId="1" applyNumberFormat="1"/>
    <xf numFmtId="1" fontId="5" fillId="0" borderId="40" xfId="1" applyNumberFormat="1" applyFont="1" applyBorder="1"/>
    <xf numFmtId="43" fontId="5" fillId="0" borderId="34" xfId="1" applyNumberFormat="1" applyFont="1" applyFill="1" applyBorder="1"/>
    <xf numFmtId="1" fontId="5" fillId="2" borderId="34" xfId="1" applyNumberFormat="1" applyFont="1" applyFill="1" applyBorder="1" applyAlignment="1">
      <alignment horizontal="center"/>
    </xf>
    <xf numFmtId="43" fontId="27" fillId="3" borderId="0" xfId="1" applyNumberFormat="1" applyFont="1" applyFill="1"/>
    <xf numFmtId="43" fontId="5" fillId="0" borderId="35" xfId="1" applyNumberFormat="1" applyFont="1" applyBorder="1" applyAlignment="1"/>
    <xf numFmtId="43" fontId="28" fillId="0" borderId="0" xfId="1" applyNumberFormat="1" applyFont="1" applyAlignment="1">
      <alignment vertical="center"/>
    </xf>
    <xf numFmtId="43" fontId="29" fillId="0" borderId="0" xfId="1" applyNumberFormat="1" applyFont="1"/>
    <xf numFmtId="43" fontId="29" fillId="0" borderId="0" xfId="1" quotePrefix="1" applyNumberFormat="1" applyFont="1"/>
    <xf numFmtId="15" fontId="29" fillId="0" borderId="0" xfId="1" quotePrefix="1" applyNumberFormat="1" applyFont="1"/>
    <xf numFmtId="1" fontId="13" fillId="4" borderId="27" xfId="1" applyNumberFormat="1" applyFont="1" applyFill="1" applyBorder="1" applyAlignment="1">
      <alignment horizontal="center" vertical="center" wrapText="1"/>
    </xf>
    <xf numFmtId="43" fontId="13" fillId="4" borderId="27" xfId="1" applyNumberFormat="1" applyFont="1" applyFill="1" applyBorder="1" applyAlignment="1">
      <alignment horizontal="center" vertical="center" wrapText="1"/>
    </xf>
    <xf numFmtId="43" fontId="13" fillId="4" borderId="8" xfId="1" applyNumberFormat="1" applyFont="1" applyFill="1" applyBorder="1" applyAlignment="1">
      <alignment horizontal="center" vertical="center" wrapText="1"/>
    </xf>
    <xf numFmtId="43" fontId="13" fillId="4" borderId="27" xfId="1" applyNumberFormat="1" applyFont="1" applyFill="1" applyBorder="1" applyAlignment="1">
      <alignment horizontal="center" vertical="center"/>
    </xf>
    <xf numFmtId="43" fontId="2" fillId="4" borderId="27" xfId="2" applyFont="1" applyFill="1" applyBorder="1" applyAlignment="1" applyProtection="1">
      <alignment horizontal="center" vertical="center"/>
    </xf>
    <xf numFmtId="43" fontId="2" fillId="4" borderId="28" xfId="2" applyFont="1" applyFill="1" applyBorder="1" applyAlignment="1" applyProtection="1">
      <alignment horizontal="center" vertical="center"/>
    </xf>
    <xf numFmtId="43" fontId="2" fillId="4" borderId="20" xfId="2" applyFont="1" applyFill="1" applyBorder="1" applyAlignment="1" applyProtection="1">
      <alignment horizontal="center" vertical="center"/>
    </xf>
    <xf numFmtId="43" fontId="13" fillId="4" borderId="20" xfId="1" applyNumberFormat="1" applyFont="1" applyFill="1" applyBorder="1" applyAlignment="1">
      <alignment horizontal="center" vertical="center"/>
    </xf>
    <xf numFmtId="43" fontId="13" fillId="4" borderId="20" xfId="1" applyNumberFormat="1" applyFont="1" applyFill="1" applyBorder="1" applyAlignment="1">
      <alignment horizontal="center" vertical="center" wrapText="1"/>
    </xf>
    <xf numFmtId="43" fontId="13" fillId="4" borderId="29" xfId="1" applyNumberFormat="1" applyFont="1" applyFill="1" applyBorder="1" applyAlignment="1">
      <alignment horizontal="center" vertical="center"/>
    </xf>
    <xf numFmtId="1" fontId="2" fillId="4" borderId="33" xfId="3" applyNumberFormat="1" applyFont="1" applyFill="1" applyBorder="1" applyAlignment="1">
      <alignment horizontal="center" vertical="center" wrapText="1"/>
    </xf>
    <xf numFmtId="1" fontId="13" fillId="4" borderId="34" xfId="1" applyNumberFormat="1" applyFont="1" applyFill="1" applyBorder="1" applyAlignment="1">
      <alignment horizontal="center" vertical="center" wrapText="1"/>
    </xf>
    <xf numFmtId="43" fontId="18" fillId="4" borderId="34" xfId="1" applyNumberFormat="1" applyFont="1" applyFill="1" applyBorder="1" applyAlignment="1">
      <alignment horizontal="center" vertical="center"/>
    </xf>
    <xf numFmtId="43" fontId="13" fillId="4" borderId="34" xfId="1" applyNumberFormat="1" applyFont="1" applyFill="1" applyBorder="1" applyAlignment="1">
      <alignment horizontal="center" vertical="center"/>
    </xf>
    <xf numFmtId="43" fontId="17" fillId="4" borderId="34" xfId="1" applyNumberFormat="1" applyFont="1" applyFill="1" applyBorder="1" applyAlignment="1">
      <alignment horizontal="center" vertical="center"/>
    </xf>
    <xf numFmtId="43" fontId="13" fillId="4" borderId="36" xfId="1" applyNumberFormat="1" applyFont="1" applyFill="1" applyBorder="1" applyAlignment="1">
      <alignment horizontal="center" vertical="center"/>
    </xf>
    <xf numFmtId="43" fontId="13" fillId="4" borderId="17" xfId="1" applyNumberFormat="1" applyFont="1" applyFill="1" applyBorder="1" applyAlignment="1">
      <alignment horizontal="center" vertical="center"/>
    </xf>
    <xf numFmtId="43" fontId="13" fillId="4" borderId="18" xfId="1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3" fillId="4" borderId="14" xfId="1" applyFont="1" applyFill="1" applyBorder="1" applyAlignment="1">
      <alignment horizontal="center" vertical="center"/>
    </xf>
    <xf numFmtId="0" fontId="18" fillId="4" borderId="14" xfId="1" applyFont="1" applyFill="1" applyBorder="1" applyAlignment="1">
      <alignment horizontal="center" vertical="center"/>
    </xf>
    <xf numFmtId="0" fontId="18" fillId="4" borderId="1" xfId="1" applyFont="1" applyFill="1" applyBorder="1" applyAlignment="1">
      <alignment horizontal="center" vertical="center"/>
    </xf>
    <xf numFmtId="0" fontId="13" fillId="4" borderId="0" xfId="1" applyFont="1" applyFill="1" applyAlignment="1">
      <alignment horizontal="center" vertical="center"/>
    </xf>
    <xf numFmtId="0" fontId="18" fillId="4" borderId="2" xfId="1" applyFont="1" applyFill="1" applyBorder="1" applyAlignment="1">
      <alignment horizontal="center" vertical="center"/>
    </xf>
    <xf numFmtId="0" fontId="27" fillId="4" borderId="0" xfId="1" applyFont="1" applyFill="1" applyAlignment="1">
      <alignment horizontal="center" vertical="center"/>
    </xf>
    <xf numFmtId="0" fontId="13" fillId="4" borderId="1" xfId="1" applyFont="1" applyFill="1" applyBorder="1" applyAlignment="1">
      <alignment horizontal="center" vertical="center"/>
    </xf>
    <xf numFmtId="0" fontId="2" fillId="4" borderId="0" xfId="0" applyFont="1" applyFill="1"/>
    <xf numFmtId="43" fontId="13" fillId="4" borderId="12" xfId="1" applyNumberFormat="1" applyFont="1" applyFill="1" applyBorder="1" applyAlignment="1">
      <alignment wrapText="1"/>
    </xf>
    <xf numFmtId="43" fontId="13" fillId="4" borderId="12" xfId="1" applyNumberFormat="1" applyFont="1" applyFill="1" applyBorder="1" applyAlignment="1">
      <alignment horizontal="center" wrapText="1"/>
    </xf>
    <xf numFmtId="43" fontId="18" fillId="4" borderId="21" xfId="1" applyNumberFormat="1" applyFont="1" applyFill="1" applyBorder="1" applyAlignment="1">
      <alignment horizontal="center" vertical="center" wrapText="1"/>
    </xf>
    <xf numFmtId="43" fontId="18" fillId="4" borderId="22" xfId="1" applyNumberFormat="1" applyFont="1" applyFill="1" applyBorder="1" applyAlignment="1">
      <alignment horizontal="center" vertical="center" wrapText="1"/>
    </xf>
    <xf numFmtId="43" fontId="13" fillId="4" borderId="22" xfId="1" applyNumberFormat="1" applyFont="1" applyFill="1" applyBorder="1" applyAlignment="1">
      <alignment horizontal="center" vertical="center" wrapText="1"/>
    </xf>
    <xf numFmtId="43" fontId="13" fillId="4" borderId="21" xfId="1" applyNumberFormat="1" applyFont="1" applyFill="1" applyBorder="1" applyAlignment="1">
      <alignment horizontal="center" wrapText="1"/>
    </xf>
    <xf numFmtId="43" fontId="13" fillId="4" borderId="23" xfId="1" applyNumberFormat="1" applyFont="1" applyFill="1" applyBorder="1" applyAlignment="1">
      <alignment wrapText="1"/>
    </xf>
    <xf numFmtId="0" fontId="13" fillId="4" borderId="0" xfId="1" applyFont="1" applyFill="1"/>
    <xf numFmtId="0" fontId="26" fillId="4" borderId="0" xfId="1" applyFont="1" applyFill="1" applyAlignment="1">
      <alignment horizontal="center" wrapText="1"/>
    </xf>
    <xf numFmtId="0" fontId="27" fillId="4" borderId="0" xfId="1" applyFont="1" applyFill="1"/>
    <xf numFmtId="1" fontId="13" fillId="0" borderId="0" xfId="1" applyNumberFormat="1" applyFont="1" applyFill="1" applyBorder="1" applyAlignment="1">
      <alignment wrapText="1"/>
    </xf>
    <xf numFmtId="0" fontId="2" fillId="0" borderId="0" xfId="0" applyFont="1" applyFill="1"/>
    <xf numFmtId="1" fontId="34" fillId="5" borderId="0" xfId="1" applyNumberFormat="1" applyFont="1" applyFill="1" applyBorder="1" applyAlignment="1">
      <alignment horizontal="center"/>
    </xf>
    <xf numFmtId="43" fontId="35" fillId="6" borderId="0" xfId="1" applyNumberFormat="1" applyFont="1" applyFill="1"/>
    <xf numFmtId="43" fontId="34" fillId="2" borderId="22" xfId="1" applyNumberFormat="1" applyFont="1" applyFill="1" applyBorder="1"/>
    <xf numFmtId="164" fontId="34" fillId="2" borderId="25" xfId="1" applyNumberFormat="1" applyFont="1" applyFill="1" applyBorder="1"/>
    <xf numFmtId="0" fontId="34" fillId="0" borderId="0" xfId="1" applyFont="1"/>
    <xf numFmtId="43" fontId="34" fillId="2" borderId="39" xfId="1" applyNumberFormat="1" applyFont="1" applyFill="1" applyBorder="1"/>
    <xf numFmtId="43" fontId="34" fillId="2" borderId="25" xfId="1" applyNumberFormat="1" applyFont="1" applyFill="1" applyBorder="1"/>
    <xf numFmtId="43" fontId="34" fillId="5" borderId="0" xfId="1" applyNumberFormat="1" applyFont="1" applyFill="1"/>
    <xf numFmtId="0" fontId="34" fillId="5" borderId="0" xfId="1" applyNumberFormat="1" applyFont="1" applyFill="1" applyAlignment="1">
      <alignment horizontal="left"/>
    </xf>
    <xf numFmtId="0" fontId="36" fillId="5" borderId="0" xfId="1" applyFont="1" applyFill="1"/>
    <xf numFmtId="43" fontId="36" fillId="5" borderId="0" xfId="1" applyNumberFormat="1" applyFont="1" applyFill="1"/>
    <xf numFmtId="0" fontId="36" fillId="0" borderId="0" xfId="1" applyFont="1"/>
    <xf numFmtId="1" fontId="35" fillId="0" borderId="0" xfId="1" applyNumberFormat="1" applyFont="1" applyFill="1" applyBorder="1" applyAlignment="1">
      <alignment horizontal="left"/>
    </xf>
    <xf numFmtId="0" fontId="34" fillId="0" borderId="0" xfId="0" quotePrefix="1" applyFont="1" applyAlignment="1">
      <alignment horizontal="left"/>
    </xf>
    <xf numFmtId="0" fontId="34" fillId="0" borderId="0" xfId="0" quotePrefix="1" applyFont="1"/>
    <xf numFmtId="1" fontId="36" fillId="0" borderId="0" xfId="1" applyNumberFormat="1" applyFont="1" applyAlignment="1">
      <alignment horizontal="center"/>
    </xf>
    <xf numFmtId="43" fontId="36" fillId="0" borderId="0" xfId="1" applyNumberFormat="1" applyFont="1"/>
    <xf numFmtId="43" fontId="36" fillId="0" borderId="0" xfId="1" applyNumberFormat="1" applyFont="1" applyAlignment="1">
      <alignment horizontal="center"/>
    </xf>
    <xf numFmtId="43" fontId="36" fillId="0" borderId="0" xfId="1" applyNumberFormat="1" applyFont="1" applyAlignment="1">
      <alignment horizontal="left"/>
    </xf>
    <xf numFmtId="0" fontId="36" fillId="0" borderId="0" xfId="1" applyNumberFormat="1" applyFont="1" applyFill="1" applyBorder="1" applyAlignment="1">
      <alignment horizontal="left"/>
    </xf>
    <xf numFmtId="0" fontId="36" fillId="2" borderId="0" xfId="1" applyFont="1" applyFill="1"/>
    <xf numFmtId="0" fontId="36" fillId="5" borderId="0" xfId="1" applyNumberFormat="1" applyFont="1" applyFill="1" applyAlignment="1">
      <alignment horizontal="left"/>
    </xf>
    <xf numFmtId="1" fontId="34" fillId="0" borderId="0" xfId="1" applyNumberFormat="1" applyFont="1" applyAlignment="1">
      <alignment horizontal="center"/>
    </xf>
    <xf numFmtId="43" fontId="34" fillId="0" borderId="0" xfId="1" applyNumberFormat="1" applyFont="1" applyAlignment="1">
      <alignment horizontal="center"/>
    </xf>
    <xf numFmtId="43" fontId="34" fillId="0" borderId="0" xfId="1" applyNumberFormat="1" applyFont="1"/>
    <xf numFmtId="43" fontId="34" fillId="0" borderId="0" xfId="1" applyNumberFormat="1" applyFont="1" applyAlignment="1">
      <alignment horizontal="left"/>
    </xf>
    <xf numFmtId="0" fontId="34" fillId="0" borderId="0" xfId="1" applyNumberFormat="1" applyFont="1" applyFill="1" applyBorder="1" applyAlignment="1">
      <alignment horizontal="left"/>
    </xf>
    <xf numFmtId="0" fontId="34" fillId="5" borderId="0" xfId="1" applyFont="1" applyFill="1"/>
    <xf numFmtId="43" fontId="34" fillId="0" borderId="0" xfId="1" quotePrefix="1" applyNumberFormat="1" applyFont="1"/>
    <xf numFmtId="15" fontId="34" fillId="0" borderId="0" xfId="1" quotePrefix="1" applyNumberFormat="1" applyFont="1" applyAlignment="1">
      <alignment horizontal="left"/>
    </xf>
    <xf numFmtId="43" fontId="34" fillId="0" borderId="0" xfId="1" quotePrefix="1" applyNumberFormat="1" applyFont="1" applyAlignment="1">
      <alignment horizontal="left"/>
    </xf>
    <xf numFmtId="43" fontId="34" fillId="0" borderId="0" xfId="1" quotePrefix="1" applyNumberFormat="1" applyFont="1" applyAlignment="1">
      <alignment horizontal="center"/>
    </xf>
    <xf numFmtId="0" fontId="34" fillId="0" borderId="0" xfId="1" quotePrefix="1" applyNumberFormat="1" applyFont="1" applyFill="1" applyBorder="1" applyAlignment="1">
      <alignment horizontal="left"/>
    </xf>
    <xf numFmtId="1" fontId="34" fillId="0" borderId="0" xfId="1" applyNumberFormat="1" applyFont="1" applyAlignment="1">
      <alignment horizontal="center" vertical="center"/>
    </xf>
    <xf numFmtId="43" fontId="34" fillId="0" borderId="0" xfId="1" applyNumberFormat="1" applyFont="1" applyAlignment="1">
      <alignment vertical="center"/>
    </xf>
    <xf numFmtId="43" fontId="34" fillId="0" borderId="0" xfId="1" applyNumberFormat="1" applyFont="1" applyAlignment="1">
      <alignment horizontal="left" vertical="center"/>
    </xf>
    <xf numFmtId="43" fontId="34" fillId="5" borderId="0" xfId="1" applyNumberFormat="1" applyFont="1" applyFill="1" applyAlignment="1">
      <alignment vertical="center"/>
    </xf>
    <xf numFmtId="43" fontId="34" fillId="0" borderId="0" xfId="1" applyNumberFormat="1" applyFont="1" applyAlignment="1">
      <alignment horizontal="center" vertical="center"/>
    </xf>
    <xf numFmtId="0" fontId="34" fillId="0" borderId="0" xfId="1" applyNumberFormat="1" applyFont="1" applyFill="1" applyBorder="1" applyAlignment="1">
      <alignment horizontal="left" vertical="center"/>
    </xf>
    <xf numFmtId="43" fontId="34" fillId="0" borderId="0" xfId="1" quotePrefix="1" applyNumberFormat="1" applyFont="1" applyAlignment="1">
      <alignment vertical="center"/>
    </xf>
    <xf numFmtId="0" fontId="34" fillId="0" borderId="0" xfId="1" applyFont="1" applyAlignment="1">
      <alignment vertical="center"/>
    </xf>
    <xf numFmtId="0" fontId="34" fillId="5" borderId="0" xfId="1" applyFont="1" applyFill="1" applyAlignment="1">
      <alignment vertical="center"/>
    </xf>
    <xf numFmtId="0" fontId="34" fillId="5" borderId="0" xfId="1" applyNumberFormat="1" applyFont="1" applyFill="1" applyAlignment="1">
      <alignment horizontal="left" vertical="center"/>
    </xf>
    <xf numFmtId="0" fontId="36" fillId="5" borderId="0" xfId="1" applyFont="1" applyFill="1" applyAlignment="1">
      <alignment vertical="center"/>
    </xf>
    <xf numFmtId="0" fontId="36" fillId="0" borderId="0" xfId="1" applyFont="1" applyAlignment="1">
      <alignment vertical="center"/>
    </xf>
    <xf numFmtId="1" fontId="37" fillId="0" borderId="0" xfId="1" applyNumberFormat="1" applyFont="1" applyFill="1" applyBorder="1" applyAlignment="1">
      <alignment horizontal="center" vertical="center" wrapText="1"/>
    </xf>
    <xf numFmtId="0" fontId="37" fillId="5" borderId="0" xfId="0" applyFont="1" applyFill="1" applyBorder="1" applyAlignment="1">
      <alignment vertical="center"/>
    </xf>
    <xf numFmtId="43" fontId="37" fillId="5" borderId="0" xfId="1" applyNumberFormat="1" applyFont="1" applyFill="1" applyBorder="1" applyAlignment="1">
      <alignment vertical="center" wrapText="1"/>
    </xf>
    <xf numFmtId="43" fontId="37" fillId="4" borderId="12" xfId="1" applyNumberFormat="1" applyFont="1" applyFill="1" applyBorder="1" applyAlignment="1">
      <alignment horizontal="center" vertical="center" wrapText="1"/>
    </xf>
    <xf numFmtId="43" fontId="37" fillId="4" borderId="21" xfId="1" applyNumberFormat="1" applyFont="1" applyFill="1" applyBorder="1" applyAlignment="1">
      <alignment horizontal="center" vertical="center" wrapText="1"/>
    </xf>
    <xf numFmtId="43" fontId="37" fillId="4" borderId="22" xfId="1" applyNumberFormat="1" applyFont="1" applyFill="1" applyBorder="1" applyAlignment="1">
      <alignment horizontal="center" vertical="center" wrapText="1"/>
    </xf>
    <xf numFmtId="43" fontId="37" fillId="4" borderId="23" xfId="1" applyNumberFormat="1" applyFont="1" applyFill="1" applyBorder="1" applyAlignment="1">
      <alignment vertical="center" wrapText="1"/>
    </xf>
    <xf numFmtId="43" fontId="37" fillId="4" borderId="23" xfId="1" applyNumberFormat="1" applyFont="1" applyFill="1" applyBorder="1" applyAlignment="1">
      <alignment horizontal="center" vertical="center" wrapText="1"/>
    </xf>
    <xf numFmtId="0" fontId="37" fillId="0" borderId="0" xfId="1" applyNumberFormat="1" applyFont="1" applyFill="1" applyBorder="1" applyAlignment="1">
      <alignment horizontal="left" vertical="center" wrapText="1"/>
    </xf>
    <xf numFmtId="0" fontId="37" fillId="4" borderId="0" xfId="1" applyFont="1" applyFill="1" applyAlignment="1">
      <alignment vertical="center"/>
    </xf>
    <xf numFmtId="0" fontId="37" fillId="4" borderId="0" xfId="1" applyFont="1" applyFill="1" applyAlignment="1">
      <alignment horizontal="center" vertical="center" wrapText="1"/>
    </xf>
    <xf numFmtId="0" fontId="37" fillId="5" borderId="0" xfId="1" applyFont="1" applyFill="1" applyAlignment="1">
      <alignment vertical="center"/>
    </xf>
    <xf numFmtId="0" fontId="37" fillId="5" borderId="0" xfId="1" applyNumberFormat="1" applyFont="1" applyFill="1" applyAlignment="1">
      <alignment horizontal="left" vertical="center"/>
    </xf>
    <xf numFmtId="0" fontId="35" fillId="5" borderId="0" xfId="1" applyFont="1" applyFill="1" applyAlignment="1">
      <alignment vertical="center"/>
    </xf>
    <xf numFmtId="0" fontId="35" fillId="4" borderId="0" xfId="1" applyFont="1" applyFill="1" applyAlignment="1">
      <alignment vertical="center"/>
    </xf>
    <xf numFmtId="1" fontId="37" fillId="4" borderId="27" xfId="1" applyNumberFormat="1" applyFont="1" applyFill="1" applyBorder="1" applyAlignment="1">
      <alignment horizontal="center" vertical="center" wrapText="1"/>
    </xf>
    <xf numFmtId="43" fontId="37" fillId="4" borderId="27" xfId="1" applyNumberFormat="1" applyFont="1" applyFill="1" applyBorder="1" applyAlignment="1">
      <alignment horizontal="center" vertical="center" wrapText="1"/>
    </xf>
    <xf numFmtId="43" fontId="37" fillId="4" borderId="7" xfId="1" applyNumberFormat="1" applyFont="1" applyFill="1" applyBorder="1" applyAlignment="1">
      <alignment horizontal="center" vertical="center" wrapText="1"/>
    </xf>
    <xf numFmtId="43" fontId="37" fillId="4" borderId="27" xfId="1" applyNumberFormat="1" applyFont="1" applyFill="1" applyBorder="1" applyAlignment="1">
      <alignment horizontal="center" vertical="center"/>
    </xf>
    <xf numFmtId="43" fontId="37" fillId="4" borderId="20" xfId="1" applyNumberFormat="1" applyFont="1" applyFill="1" applyBorder="1" applyAlignment="1">
      <alignment horizontal="center" vertical="center"/>
    </xf>
    <xf numFmtId="43" fontId="37" fillId="4" borderId="20" xfId="1" applyNumberFormat="1" applyFont="1" applyFill="1" applyBorder="1" applyAlignment="1">
      <alignment horizontal="center" vertical="center" wrapText="1"/>
    </xf>
    <xf numFmtId="43" fontId="37" fillId="4" borderId="29" xfId="1" applyNumberFormat="1" applyFont="1" applyFill="1" applyBorder="1" applyAlignment="1">
      <alignment horizontal="center" vertical="center"/>
    </xf>
    <xf numFmtId="1" fontId="37" fillId="4" borderId="34" xfId="1" applyNumberFormat="1" applyFont="1" applyFill="1" applyBorder="1" applyAlignment="1">
      <alignment horizontal="center" vertical="center" wrapText="1"/>
    </xf>
    <xf numFmtId="43" fontId="37" fillId="4" borderId="42" xfId="4" applyFont="1" applyFill="1" applyBorder="1" applyAlignment="1">
      <alignment horizontal="center" vertical="center" wrapText="1"/>
    </xf>
    <xf numFmtId="43" fontId="37" fillId="4" borderId="43" xfId="4" applyFont="1" applyFill="1" applyBorder="1" applyAlignment="1">
      <alignment horizontal="center" vertical="center" wrapText="1"/>
    </xf>
    <xf numFmtId="43" fontId="37" fillId="4" borderId="44" xfId="4" applyFont="1" applyFill="1" applyBorder="1" applyAlignment="1">
      <alignment horizontal="center" vertical="center" wrapText="1"/>
    </xf>
    <xf numFmtId="43" fontId="37" fillId="4" borderId="17" xfId="4" applyFont="1" applyFill="1" applyBorder="1" applyAlignment="1">
      <alignment horizontal="center" vertical="center" wrapText="1"/>
    </xf>
    <xf numFmtId="43" fontId="37" fillId="4" borderId="18" xfId="4" applyFont="1" applyFill="1" applyBorder="1" applyAlignment="1">
      <alignment horizontal="center" vertical="center" wrapText="1"/>
    </xf>
    <xf numFmtId="43" fontId="37" fillId="4" borderId="8" xfId="4" applyFont="1" applyFill="1" applyBorder="1" applyAlignment="1">
      <alignment horizontal="center" vertical="center" wrapText="1"/>
    </xf>
    <xf numFmtId="43" fontId="37" fillId="4" borderId="11" xfId="4" applyFont="1" applyFill="1" applyBorder="1" applyAlignment="1">
      <alignment horizontal="center" vertical="center" wrapText="1"/>
    </xf>
    <xf numFmtId="43" fontId="37" fillId="4" borderId="34" xfId="1" applyNumberFormat="1" applyFont="1" applyFill="1" applyBorder="1" applyAlignment="1">
      <alignment horizontal="center" vertical="center" wrapText="1"/>
    </xf>
    <xf numFmtId="43" fontId="37" fillId="4" borderId="34" xfId="1" applyNumberFormat="1" applyFont="1" applyFill="1" applyBorder="1" applyAlignment="1">
      <alignment horizontal="center" vertical="center"/>
    </xf>
    <xf numFmtId="43" fontId="37" fillId="4" borderId="36" xfId="1" applyNumberFormat="1" applyFont="1" applyFill="1" applyBorder="1" applyAlignment="1">
      <alignment horizontal="center" vertical="center"/>
    </xf>
    <xf numFmtId="43" fontId="37" fillId="4" borderId="17" xfId="1" applyNumberFormat="1" applyFont="1" applyFill="1" applyBorder="1" applyAlignment="1">
      <alignment horizontal="center" vertical="center"/>
    </xf>
    <xf numFmtId="43" fontId="37" fillId="4" borderId="29" xfId="1" applyNumberFormat="1" applyFont="1" applyFill="1" applyBorder="1" applyAlignment="1">
      <alignment horizontal="center" vertical="center" wrapText="1"/>
    </xf>
    <xf numFmtId="1" fontId="37" fillId="4" borderId="36" xfId="1" applyNumberFormat="1" applyFont="1" applyFill="1" applyBorder="1" applyAlignment="1">
      <alignment horizontal="center" vertical="center" wrapText="1"/>
    </xf>
    <xf numFmtId="0" fontId="37" fillId="4" borderId="14" xfId="1" applyFont="1" applyFill="1" applyBorder="1" applyAlignment="1">
      <alignment horizontal="center" vertical="center"/>
    </xf>
    <xf numFmtId="0" fontId="37" fillId="4" borderId="1" xfId="1" applyFont="1" applyFill="1" applyBorder="1" applyAlignment="1">
      <alignment horizontal="center" vertical="center"/>
    </xf>
    <xf numFmtId="0" fontId="37" fillId="4" borderId="0" xfId="1" applyFont="1" applyFill="1" applyAlignment="1">
      <alignment horizontal="center" vertical="center"/>
    </xf>
    <xf numFmtId="0" fontId="37" fillId="4" borderId="2" xfId="1" applyFont="1" applyFill="1" applyBorder="1" applyAlignment="1">
      <alignment horizontal="center" vertical="center"/>
    </xf>
    <xf numFmtId="0" fontId="37" fillId="5" borderId="0" xfId="1" applyFont="1" applyFill="1" applyAlignment="1">
      <alignment horizontal="center" vertical="center"/>
    </xf>
    <xf numFmtId="0" fontId="35" fillId="5" borderId="0" xfId="1" applyFont="1" applyFill="1" applyAlignment="1">
      <alignment horizontal="center" vertical="center"/>
    </xf>
    <xf numFmtId="0" fontId="35" fillId="4" borderId="0" xfId="1" applyFont="1" applyFill="1" applyAlignment="1">
      <alignment horizontal="center" vertical="center"/>
    </xf>
    <xf numFmtId="43" fontId="34" fillId="0" borderId="35" xfId="1" applyNumberFormat="1" applyFont="1" applyBorder="1" applyAlignment="1"/>
    <xf numFmtId="43" fontId="34" fillId="0" borderId="34" xfId="1" applyNumberFormat="1" applyFont="1" applyFill="1" applyBorder="1" applyAlignment="1">
      <alignment horizontal="center"/>
    </xf>
    <xf numFmtId="43" fontId="34" fillId="0" borderId="35" xfId="1" applyNumberFormat="1" applyFont="1" applyBorder="1"/>
    <xf numFmtId="43" fontId="34" fillId="2" borderId="34" xfId="1" applyNumberFormat="1" applyFont="1" applyFill="1" applyBorder="1"/>
    <xf numFmtId="43" fontId="34" fillId="9" borderId="35" xfId="1" applyNumberFormat="1" applyFont="1" applyFill="1" applyBorder="1"/>
    <xf numFmtId="43" fontId="34" fillId="8" borderId="35" xfId="1" applyNumberFormat="1" applyFont="1" applyFill="1" applyBorder="1"/>
    <xf numFmtId="43" fontId="34" fillId="5" borderId="35" xfId="1" applyNumberFormat="1" applyFont="1" applyFill="1" applyBorder="1"/>
    <xf numFmtId="43" fontId="34" fillId="9" borderId="34" xfId="1" applyNumberFormat="1" applyFont="1" applyFill="1" applyBorder="1"/>
    <xf numFmtId="43" fontId="34" fillId="2" borderId="35" xfId="1" applyNumberFormat="1" applyFont="1" applyFill="1" applyBorder="1"/>
    <xf numFmtId="1" fontId="34" fillId="0" borderId="35" xfId="1" applyNumberFormat="1" applyFont="1" applyFill="1" applyBorder="1" applyAlignment="1">
      <alignment horizontal="center"/>
    </xf>
    <xf numFmtId="43" fontId="34" fillId="0" borderId="34" xfId="1" applyNumberFormat="1" applyFont="1" applyFill="1" applyBorder="1"/>
    <xf numFmtId="43" fontId="34" fillId="8" borderId="34" xfId="1" applyNumberFormat="1" applyFont="1" applyFill="1" applyBorder="1"/>
    <xf numFmtId="43" fontId="34" fillId="6" borderId="34" xfId="1" applyNumberFormat="1" applyFont="1" applyFill="1" applyBorder="1"/>
    <xf numFmtId="43" fontId="34" fillId="11" borderId="34" xfId="1" applyNumberFormat="1" applyFont="1" applyFill="1" applyBorder="1"/>
    <xf numFmtId="43" fontId="34" fillId="0" borderId="34" xfId="1" applyNumberFormat="1" applyFont="1" applyBorder="1"/>
    <xf numFmtId="43" fontId="34" fillId="0" borderId="35" xfId="1" applyNumberFormat="1" applyFont="1" applyFill="1" applyBorder="1"/>
    <xf numFmtId="43" fontId="34" fillId="7" borderId="35" xfId="1" applyNumberFormat="1" applyFont="1" applyFill="1" applyBorder="1"/>
    <xf numFmtId="164" fontId="34" fillId="0" borderId="0" xfId="1" applyNumberFormat="1" applyFont="1"/>
    <xf numFmtId="1" fontId="34" fillId="0" borderId="34" xfId="1" applyNumberFormat="1" applyFont="1" applyFill="1" applyBorder="1" applyAlignment="1">
      <alignment horizontal="center"/>
    </xf>
    <xf numFmtId="0" fontId="34" fillId="0" borderId="34" xfId="0" applyFont="1" applyBorder="1" applyAlignment="1">
      <alignment horizontal="center"/>
    </xf>
    <xf numFmtId="0" fontId="34" fillId="2" borderId="0" xfId="1" applyFont="1" applyFill="1"/>
    <xf numFmtId="0" fontId="35" fillId="0" borderId="0" xfId="1" applyFont="1"/>
    <xf numFmtId="43" fontId="35" fillId="0" borderId="0" xfId="1" applyNumberFormat="1" applyFont="1"/>
    <xf numFmtId="1" fontId="35" fillId="0" borderId="0" xfId="1" applyNumberFormat="1" applyFont="1" applyAlignment="1">
      <alignment horizontal="center"/>
    </xf>
    <xf numFmtId="43" fontId="35" fillId="0" borderId="0" xfId="1" applyNumberFormat="1" applyFont="1" applyAlignment="1">
      <alignment horizontal="center"/>
    </xf>
    <xf numFmtId="0" fontId="35" fillId="0" borderId="0" xfId="1" applyNumberFormat="1" applyFont="1" applyFill="1" applyBorder="1" applyAlignment="1">
      <alignment horizontal="left"/>
    </xf>
    <xf numFmtId="0" fontId="35" fillId="2" borderId="0" xfId="1" applyFont="1" applyFill="1"/>
    <xf numFmtId="0" fontId="35" fillId="5" borderId="0" xfId="1" applyFont="1" applyFill="1"/>
    <xf numFmtId="0" fontId="35" fillId="5" borderId="0" xfId="1" applyNumberFormat="1" applyFont="1" applyFill="1" applyAlignment="1">
      <alignment horizontal="left"/>
    </xf>
    <xf numFmtId="0" fontId="34" fillId="0" borderId="0" xfId="0" applyFont="1" applyAlignment="1">
      <alignment horizontal="center"/>
    </xf>
    <xf numFmtId="0" fontId="34" fillId="0" borderId="0" xfId="0" applyFont="1"/>
    <xf numFmtId="0" fontId="34" fillId="0" borderId="0" xfId="0" quotePrefix="1" applyFont="1" applyAlignment="1">
      <alignment horizontal="center"/>
    </xf>
    <xf numFmtId="0" fontId="34" fillId="0" borderId="0" xfId="0" quotePrefix="1" applyNumberFormat="1" applyFont="1" applyFill="1" applyBorder="1" applyAlignment="1">
      <alignment horizontal="left"/>
    </xf>
    <xf numFmtId="0" fontId="34" fillId="5" borderId="0" xfId="0" applyFont="1" applyFill="1"/>
    <xf numFmtId="0" fontId="34" fillId="5" borderId="0" xfId="0" applyNumberFormat="1" applyFont="1" applyFill="1" applyAlignment="1">
      <alignment horizontal="left"/>
    </xf>
    <xf numFmtId="43" fontId="37" fillId="0" borderId="2" xfId="1" applyNumberFormat="1" applyFont="1" applyBorder="1" applyAlignment="1">
      <alignment horizontal="center" vertical="center" wrapText="1"/>
    </xf>
    <xf numFmtId="43" fontId="37" fillId="0" borderId="0" xfId="1" applyNumberFormat="1" applyFont="1" applyBorder="1" applyAlignment="1">
      <alignment horizontal="center" vertical="center" wrapText="1"/>
    </xf>
    <xf numFmtId="43" fontId="37" fillId="0" borderId="0" xfId="1" applyNumberFormat="1" applyFont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7" fillId="4" borderId="0" xfId="0" applyFont="1" applyFill="1" applyAlignment="1">
      <alignment vertical="center"/>
    </xf>
    <xf numFmtId="43" fontId="37" fillId="4" borderId="20" xfId="2" applyFont="1" applyFill="1" applyBorder="1" applyAlignment="1" applyProtection="1">
      <alignment horizontal="center" vertical="center"/>
    </xf>
    <xf numFmtId="43" fontId="37" fillId="4" borderId="27" xfId="2" applyFont="1" applyFill="1" applyBorder="1" applyAlignment="1" applyProtection="1">
      <alignment horizontal="center" vertical="center"/>
    </xf>
    <xf numFmtId="43" fontId="37" fillId="4" borderId="28" xfId="2" applyFont="1" applyFill="1" applyBorder="1" applyAlignment="1" applyProtection="1">
      <alignment horizontal="center" vertical="center"/>
    </xf>
    <xf numFmtId="1" fontId="37" fillId="4" borderId="33" xfId="3" applyNumberFormat="1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center" vertical="center"/>
    </xf>
    <xf numFmtId="43" fontId="34" fillId="0" borderId="0" xfId="0" applyNumberFormat="1" applyFont="1"/>
    <xf numFmtId="43" fontId="34" fillId="5" borderId="34" xfId="1" applyNumberFormat="1" applyFont="1" applyFill="1" applyBorder="1"/>
    <xf numFmtId="0" fontId="37" fillId="0" borderId="0" xfId="0" applyFont="1"/>
    <xf numFmtId="1" fontId="34" fillId="0" borderId="35" xfId="1" quotePrefix="1" applyNumberFormat="1" applyFont="1" applyFill="1" applyBorder="1" applyAlignment="1">
      <alignment horizontal="center"/>
    </xf>
    <xf numFmtId="43" fontId="38" fillId="0" borderId="34" xfId="1" applyNumberFormat="1" applyFont="1" applyFill="1" applyBorder="1"/>
    <xf numFmtId="43" fontId="38" fillId="5" borderId="35" xfId="1" applyNumberFormat="1" applyFont="1" applyFill="1" applyBorder="1"/>
    <xf numFmtId="43" fontId="38" fillId="5" borderId="34" xfId="1" applyNumberFormat="1" applyFont="1" applyFill="1" applyBorder="1"/>
    <xf numFmtId="43" fontId="34" fillId="12" borderId="34" xfId="1" applyNumberFormat="1" applyFont="1" applyFill="1" applyBorder="1"/>
    <xf numFmtId="43" fontId="13" fillId="13" borderId="20" xfId="1" applyNumberFormat="1" applyFont="1" applyFill="1" applyBorder="1" applyAlignment="1">
      <alignment horizontal="center" vertical="center" wrapText="1"/>
    </xf>
    <xf numFmtId="43" fontId="34" fillId="0" borderId="35" xfId="4" applyFont="1" applyBorder="1"/>
    <xf numFmtId="43" fontId="39" fillId="0" borderId="0" xfId="1" applyNumberFormat="1" applyFont="1"/>
    <xf numFmtId="43" fontId="40" fillId="0" borderId="0" xfId="1" applyNumberFormat="1" applyFont="1"/>
    <xf numFmtId="0" fontId="39" fillId="0" borderId="0" xfId="1" applyFont="1"/>
    <xf numFmtId="43" fontId="34" fillId="0" borderId="0" xfId="1" applyNumberFormat="1" applyFont="1" applyBorder="1"/>
    <xf numFmtId="43" fontId="5" fillId="8" borderId="35" xfId="1" applyNumberFormat="1" applyFont="1" applyFill="1" applyBorder="1" applyAlignment="1">
      <alignment vertical="center"/>
    </xf>
    <xf numFmtId="0" fontId="41" fillId="0" borderId="0" xfId="0" applyFont="1"/>
    <xf numFmtId="43" fontId="0" fillId="0" borderId="0" xfId="4" applyFont="1"/>
    <xf numFmtId="43" fontId="0" fillId="0" borderId="0" xfId="0" applyNumberForma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 wrapText="1"/>
    </xf>
    <xf numFmtId="1" fontId="34" fillId="0" borderId="0" xfId="1" quotePrefix="1" applyNumberFormat="1" applyFont="1" applyFill="1" applyBorder="1" applyAlignment="1">
      <alignment horizontal="center"/>
    </xf>
    <xf numFmtId="49" fontId="34" fillId="0" borderId="0" xfId="0" applyNumberFormat="1" applyFont="1"/>
    <xf numFmtId="49" fontId="36" fillId="0" borderId="0" xfId="1" applyNumberFormat="1" applyFont="1"/>
    <xf numFmtId="49" fontId="37" fillId="0" borderId="0" xfId="1" applyNumberFormat="1" applyFont="1" applyAlignment="1">
      <alignment vertical="center"/>
    </xf>
    <xf numFmtId="49" fontId="34" fillId="0" borderId="0" xfId="1" quotePrefix="1" applyNumberFormat="1" applyFont="1"/>
    <xf numFmtId="49" fontId="22" fillId="0" borderId="0" xfId="0" applyNumberFormat="1" applyFont="1" applyFill="1" applyAlignment="1">
      <alignment vertical="center"/>
    </xf>
    <xf numFmtId="49" fontId="37" fillId="4" borderId="27" xfId="1" applyNumberFormat="1" applyFont="1" applyFill="1" applyBorder="1" applyAlignment="1">
      <alignment horizontal="center" vertical="center" wrapText="1"/>
    </xf>
    <xf numFmtId="49" fontId="34" fillId="10" borderId="34" xfId="1" applyNumberFormat="1" applyFont="1" applyFill="1" applyBorder="1"/>
    <xf numFmtId="49" fontId="34" fillId="5" borderId="34" xfId="1" applyNumberFormat="1" applyFont="1" applyFill="1" applyBorder="1"/>
    <xf numFmtId="49" fontId="35" fillId="6" borderId="0" xfId="1" applyNumberFormat="1" applyFont="1" applyFill="1"/>
    <xf numFmtId="49" fontId="34" fillId="0" borderId="0" xfId="1" applyNumberFormat="1" applyFont="1"/>
    <xf numFmtId="49" fontId="35" fillId="0" borderId="0" xfId="1" applyNumberFormat="1" applyFont="1"/>
    <xf numFmtId="43" fontId="41" fillId="0" borderId="0" xfId="4" applyFont="1" applyAlignment="1">
      <alignment vertical="center"/>
    </xf>
    <xf numFmtId="43" fontId="43" fillId="0" borderId="0" xfId="4" applyFont="1" applyAlignment="1">
      <alignment vertical="center"/>
    </xf>
    <xf numFmtId="43" fontId="42" fillId="0" borderId="0" xfId="4" applyFont="1"/>
    <xf numFmtId="0" fontId="42" fillId="0" borderId="0" xfId="0" applyFont="1"/>
    <xf numFmtId="0" fontId="43" fillId="0" borderId="0" xfId="0" applyFont="1"/>
    <xf numFmtId="43" fontId="45" fillId="5" borderId="35" xfId="1" applyNumberFormat="1" applyFont="1" applyFill="1" applyBorder="1"/>
    <xf numFmtId="43" fontId="45" fillId="0" borderId="35" xfId="1" applyNumberFormat="1" applyFont="1" applyBorder="1"/>
    <xf numFmtId="43" fontId="27" fillId="2" borderId="41" xfId="1" applyNumberFormat="1" applyFont="1" applyFill="1" applyBorder="1"/>
    <xf numFmtId="43" fontId="38" fillId="14" borderId="34" xfId="1" applyNumberFormat="1" applyFont="1" applyFill="1" applyBorder="1"/>
    <xf numFmtId="43" fontId="44" fillId="0" borderId="0" xfId="0" applyNumberFormat="1" applyFont="1" applyFill="1"/>
    <xf numFmtId="43" fontId="0" fillId="14" borderId="0" xfId="0" applyNumberFormat="1" applyFill="1"/>
    <xf numFmtId="43" fontId="0" fillId="0" borderId="0" xfId="0" applyNumberFormat="1" applyFill="1"/>
    <xf numFmtId="43" fontId="48" fillId="0" borderId="0" xfId="1" applyNumberFormat="1" applyFont="1"/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43" fontId="6" fillId="0" borderId="6" xfId="1" applyNumberFormat="1" applyFont="1" applyBorder="1" applyAlignment="1">
      <alignment horizontal="center" vertical="center"/>
    </xf>
    <xf numFmtId="43" fontId="6" fillId="0" borderId="7" xfId="1" applyNumberFormat="1" applyFont="1" applyBorder="1" applyAlignment="1">
      <alignment horizontal="center" vertical="center"/>
    </xf>
    <xf numFmtId="43" fontId="7" fillId="0" borderId="1" xfId="1" applyNumberFormat="1" applyFont="1" applyBorder="1" applyAlignment="1">
      <alignment horizontal="center" vertical="center"/>
    </xf>
    <xf numFmtId="43" fontId="7" fillId="0" borderId="2" xfId="1" applyNumberFormat="1" applyFont="1" applyBorder="1" applyAlignment="1">
      <alignment horizontal="center" vertical="center"/>
    </xf>
    <xf numFmtId="43" fontId="7" fillId="0" borderId="3" xfId="1" applyNumberFormat="1" applyFont="1" applyBorder="1" applyAlignment="1">
      <alignment horizontal="center" vertical="center"/>
    </xf>
    <xf numFmtId="43" fontId="8" fillId="0" borderId="1" xfId="1" applyNumberFormat="1" applyFont="1" applyBorder="1" applyAlignment="1">
      <alignment horizontal="center" vertical="center"/>
    </xf>
    <xf numFmtId="43" fontId="8" fillId="0" borderId="2" xfId="1" applyNumberFormat="1" applyFont="1" applyBorder="1" applyAlignment="1">
      <alignment horizontal="center" vertical="center"/>
    </xf>
    <xf numFmtId="43" fontId="8" fillId="0" borderId="3" xfId="1" applyNumberFormat="1" applyFont="1" applyBorder="1" applyAlignment="1">
      <alignment horizontal="center" vertical="center"/>
    </xf>
    <xf numFmtId="43" fontId="1" fillId="0" borderId="1" xfId="1" applyNumberFormat="1" applyFont="1" applyBorder="1" applyAlignment="1">
      <alignment horizontal="center" vertical="center"/>
    </xf>
    <xf numFmtId="43" fontId="1" fillId="0" borderId="2" xfId="1" applyNumberFormat="1" applyFont="1" applyBorder="1" applyAlignment="1">
      <alignment horizontal="center" vertical="center"/>
    </xf>
    <xf numFmtId="43" fontId="1" fillId="0" borderId="3" xfId="1" applyNumberFormat="1" applyFont="1" applyBorder="1" applyAlignment="1">
      <alignment horizontal="center" vertical="center"/>
    </xf>
    <xf numFmtId="43" fontId="9" fillId="0" borderId="6" xfId="1" applyNumberFormat="1" applyFont="1" applyBorder="1" applyAlignment="1">
      <alignment horizontal="center" vertical="center"/>
    </xf>
    <xf numFmtId="43" fontId="9" fillId="0" borderId="8" xfId="1" applyNumberFormat="1" applyFont="1" applyBorder="1" applyAlignment="1">
      <alignment horizontal="center" vertical="center"/>
    </xf>
    <xf numFmtId="43" fontId="9" fillId="0" borderId="7" xfId="1" applyNumberFormat="1" applyFont="1" applyBorder="1" applyAlignment="1">
      <alignment horizontal="center" vertical="center"/>
    </xf>
    <xf numFmtId="43" fontId="10" fillId="0" borderId="6" xfId="1" applyNumberFormat="1" applyFont="1" applyBorder="1" applyAlignment="1">
      <alignment horizontal="center" vertical="center"/>
    </xf>
    <xf numFmtId="43" fontId="10" fillId="0" borderId="8" xfId="1" applyNumberFormat="1" applyFont="1" applyBorder="1" applyAlignment="1">
      <alignment horizontal="center" vertical="center"/>
    </xf>
    <xf numFmtId="43" fontId="10" fillId="0" borderId="7" xfId="1" applyNumberFormat="1" applyFont="1" applyBorder="1" applyAlignment="1">
      <alignment horizontal="center" vertical="center"/>
    </xf>
    <xf numFmtId="43" fontId="11" fillId="0" borderId="6" xfId="1" applyNumberFormat="1" applyFont="1" applyBorder="1" applyAlignment="1">
      <alignment horizontal="center" vertical="center" wrapText="1"/>
    </xf>
    <xf numFmtId="43" fontId="11" fillId="0" borderId="8" xfId="1" applyNumberFormat="1" applyFont="1" applyBorder="1" applyAlignment="1">
      <alignment horizontal="center" vertical="center" wrapText="1"/>
    </xf>
    <xf numFmtId="43" fontId="11" fillId="0" borderId="7" xfId="1" applyNumberFormat="1" applyFont="1" applyBorder="1" applyAlignment="1">
      <alignment horizontal="center" vertical="center" wrapText="1"/>
    </xf>
    <xf numFmtId="43" fontId="12" fillId="0" borderId="1" xfId="1" applyNumberFormat="1" applyFont="1" applyBorder="1" applyAlignment="1">
      <alignment horizontal="center" vertical="center" wrapText="1"/>
    </xf>
    <xf numFmtId="43" fontId="12" fillId="0" borderId="2" xfId="1" applyNumberFormat="1" applyFont="1" applyBorder="1" applyAlignment="1">
      <alignment horizontal="center" vertical="center" wrapText="1"/>
    </xf>
    <xf numFmtId="43" fontId="12" fillId="0" borderId="3" xfId="1" applyNumberFormat="1" applyFont="1" applyBorder="1" applyAlignment="1">
      <alignment horizontal="center" vertical="center" wrapText="1"/>
    </xf>
    <xf numFmtId="43" fontId="13" fillId="4" borderId="12" xfId="1" applyNumberFormat="1" applyFont="1" applyFill="1" applyBorder="1" applyAlignment="1">
      <alignment horizontal="center" vertical="center" wrapText="1"/>
    </xf>
    <xf numFmtId="43" fontId="14" fillId="4" borderId="12" xfId="1" applyNumberFormat="1" applyFont="1" applyFill="1" applyBorder="1" applyAlignment="1">
      <alignment horizontal="center" wrapText="1"/>
    </xf>
    <xf numFmtId="43" fontId="13" fillId="4" borderId="12" xfId="1" applyNumberFormat="1" applyFont="1" applyFill="1" applyBorder="1" applyAlignment="1">
      <alignment horizontal="center" wrapText="1"/>
    </xf>
    <xf numFmtId="43" fontId="8" fillId="4" borderId="12" xfId="2" applyFont="1" applyFill="1" applyBorder="1" applyAlignment="1" applyProtection="1">
      <alignment horizontal="center" vertical="center" wrapText="1"/>
    </xf>
    <xf numFmtId="43" fontId="2" fillId="4" borderId="12" xfId="2" applyFont="1" applyFill="1" applyBorder="1" applyAlignment="1" applyProtection="1">
      <alignment horizontal="center" vertical="center" wrapText="1"/>
    </xf>
    <xf numFmtId="43" fontId="16" fillId="4" borderId="12" xfId="2" applyFont="1" applyFill="1" applyBorder="1" applyAlignment="1" applyProtection="1">
      <alignment horizontal="center" vertical="center" wrapText="1"/>
    </xf>
    <xf numFmtId="43" fontId="2" fillId="4" borderId="12" xfId="2" applyFont="1" applyFill="1" applyBorder="1" applyAlignment="1" applyProtection="1">
      <alignment horizontal="center" wrapText="1"/>
    </xf>
    <xf numFmtId="43" fontId="14" fillId="4" borderId="12" xfId="1" applyNumberFormat="1" applyFont="1" applyFill="1" applyBorder="1" applyAlignment="1">
      <alignment horizontal="center" vertical="center" wrapText="1"/>
    </xf>
    <xf numFmtId="43" fontId="17" fillId="4" borderId="12" xfId="1" applyNumberFormat="1" applyFont="1" applyFill="1" applyBorder="1" applyAlignment="1">
      <alignment horizontal="center" vertical="center" wrapText="1"/>
    </xf>
    <xf numFmtId="43" fontId="18" fillId="4" borderId="12" xfId="1" applyNumberFormat="1" applyFont="1" applyFill="1" applyBorder="1" applyAlignment="1">
      <alignment horizontal="center" vertical="center" wrapText="1"/>
    </xf>
    <xf numFmtId="43" fontId="13" fillId="4" borderId="16" xfId="1" applyNumberFormat="1" applyFont="1" applyFill="1" applyBorder="1" applyAlignment="1">
      <alignment horizontal="center" wrapText="1"/>
    </xf>
    <xf numFmtId="43" fontId="13" fillId="4" borderId="32" xfId="1" applyNumberFormat="1" applyFont="1" applyFill="1" applyBorder="1" applyAlignment="1">
      <alignment horizontal="center" wrapText="1"/>
    </xf>
    <xf numFmtId="43" fontId="13" fillId="4" borderId="13" xfId="1" applyNumberFormat="1" applyFont="1" applyFill="1" applyBorder="1" applyAlignment="1">
      <alignment horizontal="center" vertical="center" wrapText="1"/>
    </xf>
    <xf numFmtId="43" fontId="13" fillId="4" borderId="14" xfId="1" applyNumberFormat="1" applyFont="1" applyFill="1" applyBorder="1" applyAlignment="1">
      <alignment horizontal="center" wrapText="1"/>
    </xf>
    <xf numFmtId="43" fontId="13" fillId="4" borderId="30" xfId="1" applyNumberFormat="1" applyFont="1" applyFill="1" applyBorder="1" applyAlignment="1">
      <alignment horizontal="center" wrapText="1"/>
    </xf>
    <xf numFmtId="43" fontId="13" fillId="4" borderId="15" xfId="1" applyNumberFormat="1" applyFont="1" applyFill="1" applyBorder="1" applyAlignment="1">
      <alignment horizontal="center" wrapText="1"/>
    </xf>
    <xf numFmtId="43" fontId="13" fillId="4" borderId="31" xfId="1" applyNumberFormat="1" applyFont="1" applyFill="1" applyBorder="1" applyAlignment="1">
      <alignment horizontal="center" wrapText="1"/>
    </xf>
    <xf numFmtId="43" fontId="21" fillId="4" borderId="6" xfId="1" applyNumberFormat="1" applyFont="1" applyFill="1" applyBorder="1" applyAlignment="1">
      <alignment horizontal="center" vertical="center" wrapText="1"/>
    </xf>
    <xf numFmtId="43" fontId="21" fillId="4" borderId="8" xfId="1" applyNumberFormat="1" applyFont="1" applyFill="1" applyBorder="1" applyAlignment="1">
      <alignment horizontal="center" vertical="center" wrapText="1"/>
    </xf>
    <xf numFmtId="43" fontId="21" fillId="4" borderId="7" xfId="1" applyNumberFormat="1" applyFont="1" applyFill="1" applyBorder="1" applyAlignment="1">
      <alignment horizontal="center" vertical="center" wrapText="1"/>
    </xf>
    <xf numFmtId="43" fontId="13" fillId="4" borderId="17" xfId="1" applyNumberFormat="1" applyFont="1" applyFill="1" applyBorder="1" applyAlignment="1">
      <alignment horizontal="center" wrapText="1"/>
    </xf>
    <xf numFmtId="43" fontId="13" fillId="4" borderId="18" xfId="1" applyNumberFormat="1" applyFont="1" applyFill="1" applyBorder="1" applyAlignment="1">
      <alignment horizontal="center" wrapText="1"/>
    </xf>
    <xf numFmtId="43" fontId="13" fillId="4" borderId="19" xfId="1" applyNumberFormat="1" applyFont="1" applyFill="1" applyBorder="1" applyAlignment="1">
      <alignment horizontal="center" wrapText="1"/>
    </xf>
    <xf numFmtId="43" fontId="13" fillId="4" borderId="13" xfId="1" applyNumberFormat="1" applyFont="1" applyFill="1" applyBorder="1" applyAlignment="1">
      <alignment horizontal="center" wrapText="1"/>
    </xf>
    <xf numFmtId="1" fontId="19" fillId="4" borderId="17" xfId="1" applyNumberFormat="1" applyFont="1" applyFill="1" applyBorder="1" applyAlignment="1">
      <alignment horizontal="center" vertical="center" wrapText="1"/>
    </xf>
    <xf numFmtId="1" fontId="19" fillId="4" borderId="20" xfId="1" applyNumberFormat="1" applyFont="1" applyFill="1" applyBorder="1" applyAlignment="1">
      <alignment horizontal="center" vertical="center" wrapText="1"/>
    </xf>
    <xf numFmtId="1" fontId="19" fillId="4" borderId="18" xfId="1" applyNumberFormat="1" applyFont="1" applyFill="1" applyBorder="1" applyAlignment="1">
      <alignment horizontal="center" vertical="center" wrapText="1"/>
    </xf>
    <xf numFmtId="43" fontId="18" fillId="4" borderId="35" xfId="1" applyNumberFormat="1" applyFont="1" applyFill="1" applyBorder="1" applyAlignment="1">
      <alignment horizontal="center" vertical="center" wrapText="1"/>
    </xf>
    <xf numFmtId="43" fontId="13" fillId="4" borderId="35" xfId="1" applyNumberFormat="1" applyFont="1" applyFill="1" applyBorder="1" applyAlignment="1">
      <alignment horizontal="center" vertical="center" wrapText="1"/>
    </xf>
    <xf numFmtId="43" fontId="13" fillId="4" borderId="23" xfId="1" applyNumberFormat="1" applyFont="1" applyFill="1" applyBorder="1" applyAlignment="1">
      <alignment horizontal="center" wrapText="1"/>
    </xf>
    <xf numFmtId="43" fontId="13" fillId="4" borderId="21" xfId="1" applyNumberFormat="1" applyFont="1" applyFill="1" applyBorder="1" applyAlignment="1">
      <alignment horizontal="center" wrapText="1"/>
    </xf>
    <xf numFmtId="0" fontId="24" fillId="4" borderId="6" xfId="1" applyFont="1" applyFill="1" applyBorder="1" applyAlignment="1">
      <alignment horizontal="center" vertical="center" wrapText="1"/>
    </xf>
    <xf numFmtId="0" fontId="24" fillId="4" borderId="8" xfId="1" applyFont="1" applyFill="1" applyBorder="1" applyAlignment="1">
      <alignment horizontal="center" vertical="center" wrapText="1"/>
    </xf>
    <xf numFmtId="0" fontId="24" fillId="4" borderId="7" xfId="1" applyFont="1" applyFill="1" applyBorder="1" applyAlignment="1">
      <alignment horizontal="center" vertical="center" wrapText="1"/>
    </xf>
    <xf numFmtId="43" fontId="22" fillId="4" borderId="14" xfId="1" applyNumberFormat="1" applyFont="1" applyFill="1" applyBorder="1" applyAlignment="1">
      <alignment horizontal="center" vertical="center" wrapText="1"/>
    </xf>
    <xf numFmtId="43" fontId="22" fillId="4" borderId="30" xfId="1" applyNumberFormat="1" applyFont="1" applyFill="1" applyBorder="1" applyAlignment="1">
      <alignment horizontal="center" vertical="center" wrapText="1"/>
    </xf>
    <xf numFmtId="43" fontId="13" fillId="4" borderId="15" xfId="1" applyNumberFormat="1" applyFont="1" applyFill="1" applyBorder="1" applyAlignment="1">
      <alignment horizontal="center" vertical="center" wrapText="1"/>
    </xf>
    <xf numFmtId="43" fontId="13" fillId="4" borderId="31" xfId="1" applyNumberFormat="1" applyFont="1" applyFill="1" applyBorder="1" applyAlignment="1">
      <alignment horizontal="center" vertical="center" wrapText="1"/>
    </xf>
    <xf numFmtId="43" fontId="13" fillId="4" borderId="24" xfId="1" applyNumberFormat="1" applyFont="1" applyFill="1" applyBorder="1" applyAlignment="1">
      <alignment horizontal="center" vertical="center" wrapText="1"/>
    </xf>
    <xf numFmtId="43" fontId="13" fillId="4" borderId="37" xfId="1" applyNumberFormat="1" applyFont="1" applyFill="1" applyBorder="1" applyAlignment="1">
      <alignment horizontal="center" vertical="center" wrapText="1"/>
    </xf>
    <xf numFmtId="43" fontId="13" fillId="4" borderId="22" xfId="1" applyNumberFormat="1" applyFont="1" applyFill="1" applyBorder="1" applyAlignment="1">
      <alignment horizontal="center" vertical="center" wrapText="1"/>
    </xf>
    <xf numFmtId="43" fontId="13" fillId="4" borderId="34" xfId="1" applyNumberFormat="1" applyFont="1" applyFill="1" applyBorder="1" applyAlignment="1">
      <alignment horizontal="center" vertical="center" wrapText="1"/>
    </xf>
    <xf numFmtId="43" fontId="13" fillId="4" borderId="25" xfId="1" applyNumberFormat="1" applyFont="1" applyFill="1" applyBorder="1" applyAlignment="1">
      <alignment horizontal="center" wrapText="1"/>
    </xf>
    <xf numFmtId="43" fontId="13" fillId="4" borderId="38" xfId="1" applyNumberFormat="1" applyFont="1" applyFill="1" applyBorder="1" applyAlignment="1">
      <alignment horizontal="center" wrapText="1"/>
    </xf>
    <xf numFmtId="0" fontId="23" fillId="4" borderId="6" xfId="1" applyFont="1" applyFill="1" applyBorder="1" applyAlignment="1">
      <alignment horizontal="center" vertical="center" wrapText="1"/>
    </xf>
    <xf numFmtId="0" fontId="23" fillId="4" borderId="8" xfId="1" applyFont="1" applyFill="1" applyBorder="1" applyAlignment="1">
      <alignment horizontal="center" vertical="center" wrapText="1"/>
    </xf>
    <xf numFmtId="0" fontId="18" fillId="4" borderId="14" xfId="1" applyFont="1" applyFill="1" applyBorder="1" applyAlignment="1">
      <alignment horizontal="center" wrapText="1"/>
    </xf>
    <xf numFmtId="0" fontId="18" fillId="4" borderId="26" xfId="1" applyFont="1" applyFill="1" applyBorder="1" applyAlignment="1">
      <alignment horizontal="center" wrapText="1"/>
    </xf>
    <xf numFmtId="0" fontId="26" fillId="4" borderId="4" xfId="1" applyFont="1" applyFill="1" applyBorder="1" applyAlignment="1">
      <alignment horizontal="center" wrapText="1"/>
    </xf>
    <xf numFmtId="0" fontId="26" fillId="4" borderId="0" xfId="1" applyFont="1" applyFill="1" applyBorder="1" applyAlignment="1">
      <alignment horizontal="center" wrapText="1"/>
    </xf>
    <xf numFmtId="0" fontId="26" fillId="4" borderId="5" xfId="1" applyFont="1" applyFill="1" applyBorder="1" applyAlignment="1">
      <alignment horizontal="center" wrapText="1"/>
    </xf>
    <xf numFmtId="0" fontId="25" fillId="4" borderId="1" xfId="1" applyFont="1" applyFill="1" applyBorder="1" applyAlignment="1">
      <alignment horizontal="center"/>
    </xf>
    <xf numFmtId="0" fontId="25" fillId="4" borderId="2" xfId="1" applyFont="1" applyFill="1" applyBorder="1" applyAlignment="1">
      <alignment horizontal="center"/>
    </xf>
    <xf numFmtId="0" fontId="25" fillId="4" borderId="3" xfId="1" applyFont="1" applyFill="1" applyBorder="1" applyAlignment="1">
      <alignment horizontal="center"/>
    </xf>
    <xf numFmtId="0" fontId="26" fillId="4" borderId="6" xfId="1" applyFont="1" applyFill="1" applyBorder="1" applyAlignment="1">
      <alignment horizontal="center" wrapText="1"/>
    </xf>
    <xf numFmtId="0" fontId="26" fillId="4" borderId="8" xfId="1" applyFont="1" applyFill="1" applyBorder="1" applyAlignment="1">
      <alignment horizontal="center" wrapText="1"/>
    </xf>
    <xf numFmtId="0" fontId="26" fillId="4" borderId="7" xfId="1" applyFont="1" applyFill="1" applyBorder="1" applyAlignment="1">
      <alignment horizontal="center" wrapText="1"/>
    </xf>
    <xf numFmtId="0" fontId="23" fillId="4" borderId="9" xfId="1" applyFont="1" applyFill="1" applyBorder="1" applyAlignment="1">
      <alignment horizontal="center" vertical="center" wrapText="1"/>
    </xf>
    <xf numFmtId="0" fontId="23" fillId="4" borderId="10" xfId="1" applyFont="1" applyFill="1" applyBorder="1" applyAlignment="1">
      <alignment horizontal="center" vertical="center" wrapText="1"/>
    </xf>
    <xf numFmtId="0" fontId="24" fillId="4" borderId="4" xfId="1" applyFont="1" applyFill="1" applyBorder="1" applyAlignment="1">
      <alignment horizontal="center" vertical="center" wrapText="1"/>
    </xf>
    <xf numFmtId="0" fontId="24" fillId="4" borderId="0" xfId="1" applyFont="1" applyFill="1" applyBorder="1" applyAlignment="1">
      <alignment horizontal="center" vertical="center" wrapText="1"/>
    </xf>
    <xf numFmtId="0" fontId="24" fillId="4" borderId="5" xfId="1" applyFont="1" applyFill="1" applyBorder="1" applyAlignment="1">
      <alignment horizontal="center" vertical="center" wrapText="1"/>
    </xf>
    <xf numFmtId="0" fontId="25" fillId="4" borderId="4" xfId="1" applyFont="1" applyFill="1" applyBorder="1" applyAlignment="1">
      <alignment horizontal="center"/>
    </xf>
    <xf numFmtId="0" fontId="25" fillId="4" borderId="0" xfId="1" applyFont="1" applyFill="1" applyBorder="1" applyAlignment="1">
      <alignment horizontal="center"/>
    </xf>
    <xf numFmtId="0" fontId="25" fillId="4" borderId="5" xfId="1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 vertical="center" wrapText="1"/>
    </xf>
    <xf numFmtId="43" fontId="37" fillId="5" borderId="12" xfId="1" applyNumberFormat="1" applyFont="1" applyFill="1" applyBorder="1" applyAlignment="1">
      <alignment horizontal="center" vertical="center" wrapText="1"/>
    </xf>
    <xf numFmtId="43" fontId="37" fillId="4" borderId="12" xfId="1" applyNumberFormat="1" applyFont="1" applyFill="1" applyBorder="1" applyAlignment="1">
      <alignment horizontal="center" vertical="center" wrapText="1"/>
    </xf>
    <xf numFmtId="43" fontId="37" fillId="4" borderId="15" xfId="1" applyNumberFormat="1" applyFont="1" applyFill="1" applyBorder="1" applyAlignment="1">
      <alignment horizontal="center" vertical="center" wrapText="1"/>
    </xf>
    <xf numFmtId="43" fontId="37" fillId="4" borderId="31" xfId="1" applyNumberFormat="1" applyFont="1" applyFill="1" applyBorder="1" applyAlignment="1">
      <alignment horizontal="center" vertical="center" wrapText="1"/>
    </xf>
    <xf numFmtId="43" fontId="37" fillId="4" borderId="13" xfId="1" applyNumberFormat="1" applyFont="1" applyFill="1" applyBorder="1" applyAlignment="1">
      <alignment horizontal="center" vertical="center" wrapText="1"/>
    </xf>
    <xf numFmtId="43" fontId="37" fillId="4" borderId="14" xfId="1" applyNumberFormat="1" applyFont="1" applyFill="1" applyBorder="1" applyAlignment="1">
      <alignment horizontal="center" vertical="center" wrapText="1"/>
    </xf>
    <xf numFmtId="43" fontId="37" fillId="4" borderId="30" xfId="1" applyNumberFormat="1" applyFont="1" applyFill="1" applyBorder="1" applyAlignment="1">
      <alignment horizontal="center" vertical="center" wrapText="1"/>
    </xf>
    <xf numFmtId="0" fontId="34" fillId="2" borderId="1" xfId="1" applyFont="1" applyFill="1" applyBorder="1" applyAlignment="1">
      <alignment horizontal="center" vertical="center"/>
    </xf>
    <xf numFmtId="0" fontId="34" fillId="2" borderId="2" xfId="1" applyFont="1" applyFill="1" applyBorder="1" applyAlignment="1">
      <alignment horizontal="center" vertical="center"/>
    </xf>
    <xf numFmtId="0" fontId="34" fillId="2" borderId="3" xfId="1" applyFont="1" applyFill="1" applyBorder="1" applyAlignment="1">
      <alignment horizontal="center" vertical="center"/>
    </xf>
    <xf numFmtId="0" fontId="34" fillId="2" borderId="4" xfId="1" applyFont="1" applyFill="1" applyBorder="1" applyAlignment="1">
      <alignment horizontal="center" vertical="center"/>
    </xf>
    <xf numFmtId="0" fontId="34" fillId="2" borderId="0" xfId="1" applyFont="1" applyFill="1" applyBorder="1" applyAlignment="1">
      <alignment horizontal="center" vertical="center"/>
    </xf>
    <xf numFmtId="0" fontId="34" fillId="2" borderId="5" xfId="1" applyFont="1" applyFill="1" applyBorder="1" applyAlignment="1">
      <alignment horizontal="center" vertical="center"/>
    </xf>
    <xf numFmtId="0" fontId="34" fillId="2" borderId="9" xfId="1" applyFont="1" applyFill="1" applyBorder="1" applyAlignment="1">
      <alignment horizontal="center" vertical="center"/>
    </xf>
    <xf numFmtId="0" fontId="34" fillId="2" borderId="10" xfId="1" applyFont="1" applyFill="1" applyBorder="1" applyAlignment="1">
      <alignment horizontal="center" vertical="center"/>
    </xf>
    <xf numFmtId="0" fontId="34" fillId="2" borderId="11" xfId="1" applyFont="1" applyFill="1" applyBorder="1" applyAlignment="1">
      <alignment horizontal="center" vertical="center"/>
    </xf>
    <xf numFmtId="43" fontId="34" fillId="0" borderId="6" xfId="1" applyNumberFormat="1" applyFont="1" applyBorder="1" applyAlignment="1">
      <alignment horizontal="center" vertical="center"/>
    </xf>
    <xf numFmtId="43" fontId="34" fillId="0" borderId="7" xfId="1" applyNumberFormat="1" applyFont="1" applyBorder="1" applyAlignment="1">
      <alignment horizontal="center" vertical="center"/>
    </xf>
    <xf numFmtId="43" fontId="34" fillId="0" borderId="1" xfId="1" applyNumberFormat="1" applyFont="1" applyBorder="1" applyAlignment="1">
      <alignment horizontal="center" vertical="center"/>
    </xf>
    <xf numFmtId="43" fontId="34" fillId="0" borderId="2" xfId="1" applyNumberFormat="1" applyFont="1" applyBorder="1" applyAlignment="1">
      <alignment horizontal="center" vertical="center"/>
    </xf>
    <xf numFmtId="43" fontId="34" fillId="0" borderId="3" xfId="1" applyNumberFormat="1" applyFont="1" applyBorder="1" applyAlignment="1">
      <alignment horizontal="center" vertical="center"/>
    </xf>
    <xf numFmtId="43" fontId="37" fillId="0" borderId="1" xfId="1" applyNumberFormat="1" applyFont="1" applyBorder="1" applyAlignment="1">
      <alignment horizontal="center" vertical="center"/>
    </xf>
    <xf numFmtId="43" fontId="37" fillId="0" borderId="2" xfId="1" applyNumberFormat="1" applyFont="1" applyBorder="1" applyAlignment="1">
      <alignment horizontal="center" vertical="center"/>
    </xf>
    <xf numFmtId="43" fontId="37" fillId="0" borderId="3" xfId="1" applyNumberFormat="1" applyFont="1" applyBorder="1" applyAlignment="1">
      <alignment horizontal="center" vertical="center"/>
    </xf>
    <xf numFmtId="43" fontId="34" fillId="0" borderId="8" xfId="1" applyNumberFormat="1" applyFont="1" applyBorder="1" applyAlignment="1">
      <alignment horizontal="center" vertical="center"/>
    </xf>
    <xf numFmtId="43" fontId="37" fillId="0" borderId="6" xfId="1" applyNumberFormat="1" applyFont="1" applyBorder="1" applyAlignment="1">
      <alignment horizontal="center" vertical="center" wrapText="1"/>
    </xf>
    <xf numFmtId="43" fontId="37" fillId="0" borderId="8" xfId="1" applyNumberFormat="1" applyFont="1" applyBorder="1" applyAlignment="1">
      <alignment horizontal="center" vertical="center" wrapText="1"/>
    </xf>
    <xf numFmtId="43" fontId="37" fillId="0" borderId="7" xfId="1" applyNumberFormat="1" applyFont="1" applyBorder="1" applyAlignment="1">
      <alignment horizontal="center" vertical="center" wrapText="1"/>
    </xf>
    <xf numFmtId="43" fontId="37" fillId="0" borderId="1" xfId="1" applyNumberFormat="1" applyFont="1" applyBorder="1" applyAlignment="1">
      <alignment horizontal="center" vertical="center" wrapText="1"/>
    </xf>
    <xf numFmtId="43" fontId="37" fillId="0" borderId="2" xfId="1" applyNumberFormat="1" applyFont="1" applyBorder="1" applyAlignment="1">
      <alignment horizontal="center" vertical="center" wrapText="1"/>
    </xf>
    <xf numFmtId="43" fontId="37" fillId="0" borderId="3" xfId="1" applyNumberFormat="1" applyFont="1" applyBorder="1" applyAlignment="1">
      <alignment horizontal="center" vertical="center" wrapText="1"/>
    </xf>
    <xf numFmtId="43" fontId="37" fillId="7" borderId="15" xfId="1" applyNumberFormat="1" applyFont="1" applyFill="1" applyBorder="1" applyAlignment="1">
      <alignment horizontal="center" vertical="center" wrapText="1"/>
    </xf>
    <xf numFmtId="43" fontId="37" fillId="7" borderId="31" xfId="1" applyNumberFormat="1" applyFont="1" applyFill="1" applyBorder="1" applyAlignment="1">
      <alignment horizontal="center" vertical="center" wrapText="1"/>
    </xf>
    <xf numFmtId="43" fontId="37" fillId="4" borderId="21" xfId="1" applyNumberFormat="1" applyFont="1" applyFill="1" applyBorder="1" applyAlignment="1">
      <alignment horizontal="center" vertical="center" wrapText="1"/>
    </xf>
    <xf numFmtId="43" fontId="37" fillId="4" borderId="33" xfId="1" applyNumberFormat="1" applyFont="1" applyFill="1" applyBorder="1" applyAlignment="1">
      <alignment horizontal="center" vertical="center" wrapText="1"/>
    </xf>
    <xf numFmtId="43" fontId="37" fillId="4" borderId="19" xfId="1" applyNumberFormat="1" applyFont="1" applyFill="1" applyBorder="1" applyAlignment="1">
      <alignment horizontal="center" vertical="center" wrapText="1"/>
    </xf>
    <xf numFmtId="43" fontId="37" fillId="4" borderId="12" xfId="2" applyFont="1" applyFill="1" applyBorder="1" applyAlignment="1" applyProtection="1">
      <alignment horizontal="center" vertical="center" wrapText="1"/>
    </xf>
    <xf numFmtId="0" fontId="37" fillId="4" borderId="4" xfId="1" applyFont="1" applyFill="1" applyBorder="1" applyAlignment="1">
      <alignment horizontal="center" vertical="center" wrapText="1"/>
    </xf>
    <xf numFmtId="0" fontId="37" fillId="4" borderId="0" xfId="1" applyFont="1" applyFill="1" applyBorder="1" applyAlignment="1">
      <alignment horizontal="center" vertical="center" wrapText="1"/>
    </xf>
    <xf numFmtId="0" fontId="37" fillId="4" borderId="5" xfId="1" applyFont="1" applyFill="1" applyBorder="1" applyAlignment="1">
      <alignment horizontal="center" vertical="center" wrapText="1"/>
    </xf>
    <xf numFmtId="43" fontId="37" fillId="4" borderId="17" xfId="1" applyNumberFormat="1" applyFont="1" applyFill="1" applyBorder="1" applyAlignment="1">
      <alignment horizontal="center" vertical="center" wrapText="1"/>
    </xf>
    <xf numFmtId="43" fontId="37" fillId="4" borderId="18" xfId="1" applyNumberFormat="1" applyFont="1" applyFill="1" applyBorder="1" applyAlignment="1">
      <alignment horizontal="center" vertical="center" wrapText="1"/>
    </xf>
    <xf numFmtId="43" fontId="37" fillId="4" borderId="6" xfId="1" applyNumberFormat="1" applyFont="1" applyFill="1" applyBorder="1" applyAlignment="1">
      <alignment horizontal="center" vertical="center" wrapText="1"/>
    </xf>
    <xf numFmtId="43" fontId="37" fillId="4" borderId="8" xfId="1" applyNumberFormat="1" applyFont="1" applyFill="1" applyBorder="1" applyAlignment="1">
      <alignment horizontal="center" vertical="center" wrapText="1"/>
    </xf>
    <xf numFmtId="43" fontId="37" fillId="4" borderId="7" xfId="1" applyNumberFormat="1" applyFont="1" applyFill="1" applyBorder="1" applyAlignment="1">
      <alignment horizontal="center" vertical="center" wrapText="1"/>
    </xf>
    <xf numFmtId="0" fontId="37" fillId="4" borderId="1" xfId="1" applyFont="1" applyFill="1" applyBorder="1" applyAlignment="1">
      <alignment horizontal="center" vertical="center"/>
    </xf>
    <xf numFmtId="0" fontId="37" fillId="4" borderId="2" xfId="1" applyFont="1" applyFill="1" applyBorder="1" applyAlignment="1">
      <alignment horizontal="center" vertical="center"/>
    </xf>
    <xf numFmtId="0" fontId="37" fillId="4" borderId="3" xfId="1" applyFont="1" applyFill="1" applyBorder="1" applyAlignment="1">
      <alignment horizontal="center" vertical="center"/>
    </xf>
    <xf numFmtId="0" fontId="37" fillId="4" borderId="6" xfId="1" applyFont="1" applyFill="1" applyBorder="1" applyAlignment="1">
      <alignment horizontal="center" vertical="center" wrapText="1"/>
    </xf>
    <xf numFmtId="0" fontId="37" fillId="4" borderId="8" xfId="1" applyFont="1" applyFill="1" applyBorder="1" applyAlignment="1">
      <alignment horizontal="center" vertical="center" wrapText="1"/>
    </xf>
    <xf numFmtId="0" fontId="37" fillId="4" borderId="7" xfId="1" applyFont="1" applyFill="1" applyBorder="1" applyAlignment="1">
      <alignment horizontal="center" vertical="center" wrapText="1"/>
    </xf>
    <xf numFmtId="0" fontId="37" fillId="4" borderId="9" xfId="1" applyFont="1" applyFill="1" applyBorder="1" applyAlignment="1">
      <alignment horizontal="center" vertical="center" wrapText="1"/>
    </xf>
    <xf numFmtId="0" fontId="37" fillId="4" borderId="10" xfId="1" applyFont="1" applyFill="1" applyBorder="1" applyAlignment="1">
      <alignment horizontal="center" vertical="center" wrapText="1"/>
    </xf>
    <xf numFmtId="0" fontId="37" fillId="4" borderId="26" xfId="1" applyFont="1" applyFill="1" applyBorder="1" applyAlignment="1">
      <alignment horizontal="center" vertical="center" wrapText="1"/>
    </xf>
    <xf numFmtId="0" fontId="37" fillId="4" borderId="4" xfId="1" applyFont="1" applyFill="1" applyBorder="1" applyAlignment="1">
      <alignment horizontal="center" vertical="center"/>
    </xf>
    <xf numFmtId="0" fontId="37" fillId="4" borderId="0" xfId="1" applyFont="1" applyFill="1" applyBorder="1" applyAlignment="1">
      <alignment horizontal="center" vertical="center"/>
    </xf>
    <xf numFmtId="0" fontId="37" fillId="4" borderId="5" xfId="1" applyFont="1" applyFill="1" applyBorder="1" applyAlignment="1">
      <alignment horizontal="center" vertical="center"/>
    </xf>
    <xf numFmtId="43" fontId="37" fillId="4" borderId="22" xfId="1" applyNumberFormat="1" applyFont="1" applyFill="1" applyBorder="1" applyAlignment="1">
      <alignment horizontal="center" vertical="center" wrapText="1"/>
    </xf>
    <xf numFmtId="43" fontId="37" fillId="4" borderId="34" xfId="1" applyNumberFormat="1" applyFont="1" applyFill="1" applyBorder="1" applyAlignment="1">
      <alignment horizontal="center" vertical="center" wrapText="1"/>
    </xf>
    <xf numFmtId="0" fontId="37" fillId="4" borderId="14" xfId="1" applyFont="1" applyFill="1" applyBorder="1" applyAlignment="1">
      <alignment horizontal="center" vertical="center" wrapText="1"/>
    </xf>
    <xf numFmtId="1" fontId="37" fillId="4" borderId="17" xfId="1" applyNumberFormat="1" applyFont="1" applyFill="1" applyBorder="1" applyAlignment="1">
      <alignment horizontal="center" vertical="center" wrapText="1"/>
    </xf>
    <xf numFmtId="1" fontId="37" fillId="4" borderId="20" xfId="1" applyNumberFormat="1" applyFont="1" applyFill="1" applyBorder="1" applyAlignment="1">
      <alignment horizontal="center" vertical="center" wrapText="1"/>
    </xf>
    <xf numFmtId="1" fontId="37" fillId="4" borderId="18" xfId="1" applyNumberFormat="1" applyFont="1" applyFill="1" applyBorder="1" applyAlignment="1">
      <alignment horizontal="center" vertical="center" wrapText="1"/>
    </xf>
    <xf numFmtId="43" fontId="37" fillId="4" borderId="23" xfId="1" applyNumberFormat="1" applyFont="1" applyFill="1" applyBorder="1" applyAlignment="1">
      <alignment horizontal="center" vertical="center" wrapText="1"/>
    </xf>
    <xf numFmtId="43" fontId="37" fillId="4" borderId="16" xfId="1" applyNumberFormat="1" applyFont="1" applyFill="1" applyBorder="1" applyAlignment="1">
      <alignment horizontal="center" vertical="center" wrapText="1"/>
    </xf>
    <xf numFmtId="43" fontId="37" fillId="4" borderId="14" xfId="4" applyFont="1" applyFill="1" applyBorder="1" applyAlignment="1">
      <alignment horizontal="center" vertical="center" wrapText="1"/>
    </xf>
    <xf numFmtId="43" fontId="37" fillId="4" borderId="30" xfId="4" applyFont="1" applyFill="1" applyBorder="1" applyAlignment="1">
      <alignment horizontal="center" vertical="center" wrapText="1"/>
    </xf>
    <xf numFmtId="43" fontId="37" fillId="4" borderId="6" xfId="4" applyFont="1" applyFill="1" applyBorder="1" applyAlignment="1">
      <alignment horizontal="center" vertical="center" wrapText="1"/>
    </xf>
    <xf numFmtId="43" fontId="37" fillId="4" borderId="8" xfId="4" applyFont="1" applyFill="1" applyBorder="1" applyAlignment="1">
      <alignment horizontal="center" vertical="center" wrapText="1"/>
    </xf>
    <xf numFmtId="43" fontId="37" fillId="4" borderId="7" xfId="4" applyFont="1" applyFill="1" applyBorder="1" applyAlignment="1">
      <alignment horizontal="center" vertical="center" wrapText="1"/>
    </xf>
  </cellXfs>
  <cellStyles count="9">
    <cellStyle name="Comma" xfId="4" builtinId="3"/>
    <cellStyle name="Comma 2" xfId="3"/>
    <cellStyle name="Comma 2 2" xfId="7"/>
    <cellStyle name="Comma 2 2 2" xfId="2"/>
    <cellStyle name="Comma 2 2 3" xfId="8"/>
    <cellStyle name="Normal" xfId="0" builtinId="0"/>
    <cellStyle name="Normal 2" xfId="1"/>
    <cellStyle name="Normal 2 2" xfId="5"/>
    <cellStyle name="Normal 2 2 2" xfId="6"/>
  </cellStyles>
  <dxfs count="4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35718</xdr:rowOff>
    </xdr:from>
    <xdr:to>
      <xdr:col>1</xdr:col>
      <xdr:colOff>516730</xdr:colOff>
      <xdr:row>0</xdr:row>
      <xdr:rowOff>169067</xdr:rowOff>
    </xdr:to>
    <xdr:sp macro="[1]!March" textlink="">
      <xdr:nvSpPr>
        <xdr:cNvPr id="2" name="Arrow: Left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/>
      </xdr:nvSpPr>
      <xdr:spPr>
        <a:xfrm>
          <a:off x="59530" y="35718"/>
          <a:ext cx="704850" cy="13334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35718</xdr:rowOff>
    </xdr:from>
    <xdr:to>
      <xdr:col>1</xdr:col>
      <xdr:colOff>516730</xdr:colOff>
      <xdr:row>0</xdr:row>
      <xdr:rowOff>169067</xdr:rowOff>
    </xdr:to>
    <xdr:sp macro="[1]!March" textlink="">
      <xdr:nvSpPr>
        <xdr:cNvPr id="2" name="Arrow: Left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/>
      </xdr:nvSpPr>
      <xdr:spPr>
        <a:xfrm>
          <a:off x="59530" y="35718"/>
          <a:ext cx="704850" cy="13334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0</xdr:col>
      <xdr:colOff>20936</xdr:colOff>
      <xdr:row>3</xdr:row>
      <xdr:rowOff>229503</xdr:rowOff>
    </xdr:from>
    <xdr:to>
      <xdr:col>1</xdr:col>
      <xdr:colOff>26577</xdr:colOff>
      <xdr:row>5</xdr:row>
      <xdr:rowOff>38045</xdr:rowOff>
    </xdr:to>
    <xdr:pic>
      <xdr:nvPicPr>
        <xdr:cNvPr id="3" name="Picture 2" descr="http://rbs.payroll.net/images/payslip_image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6" y="415624"/>
          <a:ext cx="366934" cy="268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hr%20files\ROSE%20EXCELLENCE%20CORP\ROSE%20EXCELLENCE%20CORPORATION%20(REC)\Payroll\2021\March%2030,%202021\Mar.%2030,%202021-REC.Dava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201"/>
      <sheetName val="JANUARY"/>
      <sheetName val="Jan1 Payroll"/>
      <sheetName val="Jan1 Payslip"/>
      <sheetName val="Jan2 Payroll"/>
      <sheetName val="Jan2 Payslip"/>
      <sheetName val="Jan SSS"/>
      <sheetName val="Jan PHIC"/>
      <sheetName val="Jan HDMF"/>
      <sheetName val="Jan wTax"/>
      <sheetName val="SSS"/>
      <sheetName val="FEBRUARY"/>
      <sheetName val="Feb1 Payroll"/>
      <sheetName val="Feb1 Payslip"/>
      <sheetName val="Feb2 Payroll"/>
      <sheetName val="Feb2 Payslip"/>
      <sheetName val="Feb SSS"/>
      <sheetName val="Feb PHIC"/>
      <sheetName val="Feb HDMF"/>
      <sheetName val="Feb wTax"/>
      <sheetName val="MARCH"/>
      <sheetName val="Mar1 Payroll"/>
      <sheetName val="Mar1 Payslip"/>
      <sheetName val="Mar2 Payroll"/>
      <sheetName val="Mar2 Payslip"/>
      <sheetName val="Mar SSS"/>
      <sheetName val="Mar PHIC"/>
      <sheetName val="Mar HDMF"/>
      <sheetName val="Mar wTax"/>
      <sheetName val="APRIL"/>
      <sheetName val="Apr1 Payroll"/>
      <sheetName val="Apr1 Payslip"/>
      <sheetName val="Apr2 Payroll"/>
      <sheetName val="Apr2 Payslip"/>
      <sheetName val="Apr SSS"/>
      <sheetName val="Apr PHIC"/>
      <sheetName val="Apr HDMF"/>
      <sheetName val="Apr wTax"/>
      <sheetName val="MAY"/>
      <sheetName val="May1 Payroll"/>
      <sheetName val="May1 Payslip"/>
      <sheetName val="May2 Payroll"/>
      <sheetName val="May2 Payslip"/>
      <sheetName val="May SSS"/>
      <sheetName val="May PHIC"/>
      <sheetName val="May HDMF"/>
      <sheetName val="May wTax"/>
      <sheetName val="JUNE"/>
      <sheetName val="Jun1 Payroll"/>
      <sheetName val="Jun1 Payslip"/>
      <sheetName val="Jun2 Payroll"/>
      <sheetName val="Jun2 Payslip"/>
      <sheetName val="Jun SSS"/>
      <sheetName val="Jun PHIC"/>
      <sheetName val="Jun HDMF"/>
      <sheetName val="Jun wTax"/>
      <sheetName val="JULY"/>
      <sheetName val="Jul1 Payroll"/>
      <sheetName val="Jul1 Payslip"/>
      <sheetName val="Jul2 Payroll"/>
      <sheetName val="Jul2 Payslip"/>
      <sheetName val="Jul SSS"/>
      <sheetName val="Jul PHIC"/>
      <sheetName val="Jul HDMF"/>
      <sheetName val="Jul wTax"/>
      <sheetName val="AUGUST"/>
      <sheetName val="Aug1 Payroll"/>
      <sheetName val="Aug1 Payslip"/>
      <sheetName val="Aug2 Payroll"/>
      <sheetName val="Aug2 Payslip"/>
      <sheetName val="Aug SSS"/>
      <sheetName val="Aug PHIC"/>
      <sheetName val="Aug HDMF"/>
      <sheetName val="Aug wTax"/>
      <sheetName val="SEPTEMBER"/>
      <sheetName val="Sep1 Payroll"/>
      <sheetName val="Sep1 Payslip"/>
      <sheetName val="Sep2 Payroll"/>
      <sheetName val="Sep2 Payslip"/>
      <sheetName val="Sep SSS"/>
      <sheetName val="Sep PHIC"/>
      <sheetName val="Sep HDMF"/>
      <sheetName val="Sep wTax"/>
      <sheetName val="OCTOBER"/>
      <sheetName val="Oct1 Payroll"/>
      <sheetName val="Oct1 Payslip"/>
      <sheetName val="Oct2 Payroll"/>
      <sheetName val="Oct2 Payslip"/>
      <sheetName val="Oct SSS"/>
      <sheetName val="Oct PHIC"/>
      <sheetName val="Oct HDMF"/>
      <sheetName val="Oct wTax"/>
      <sheetName val="NOVEMBER"/>
      <sheetName val="Nov1 Payroll"/>
      <sheetName val="Nov1 Payslip"/>
      <sheetName val="Nov2 Payroll"/>
      <sheetName val="Nov2 Payslip"/>
      <sheetName val="Nov SSS"/>
      <sheetName val="Nov PHIC"/>
      <sheetName val="Nov HDMF"/>
      <sheetName val="Nov wTax"/>
      <sheetName val="DECEMBER"/>
      <sheetName val="Dec1 Payroll"/>
      <sheetName val="Dec1 Payslip"/>
      <sheetName val="Dec2 Payroll"/>
      <sheetName val="Dec2 Payslip"/>
      <sheetName val="Dec SSS"/>
      <sheetName val="Dec PHIC"/>
      <sheetName val="Dec HDMF"/>
      <sheetName val="Dec wTax"/>
      <sheetName val="Mar. 30, 2021-REC.Davao"/>
    </sheetNames>
    <definedNames>
      <definedName name="March"/>
    </definedNames>
    <sheetDataSet>
      <sheetData sheetId="0" refreshError="1"/>
      <sheetData sheetId="1" refreshError="1">
        <row r="7">
          <cell r="E7" t="str">
            <v>BABELA, HAILA SHASTA DELA TORRE</v>
          </cell>
          <cell r="F7" t="str">
            <v>09-3631382-9</v>
          </cell>
          <cell r="G7" t="str">
            <v>16-050621052-3</v>
          </cell>
          <cell r="H7" t="str">
            <v>1211-1848-3819</v>
          </cell>
        </row>
        <row r="8">
          <cell r="E8" t="str">
            <v>BABALO, SHERRY LYNN REBARBAS</v>
          </cell>
          <cell r="F8" t="str">
            <v>09-4104853-2</v>
          </cell>
          <cell r="G8" t="str">
            <v>16-025787287-1</v>
          </cell>
          <cell r="H8" t="str">
            <v>1212-8015-8986</v>
          </cell>
        </row>
        <row r="9">
          <cell r="E9" t="str">
            <v>BUTCON, HANAH LOREN</v>
          </cell>
          <cell r="F9" t="str">
            <v>08-1836885-3</v>
          </cell>
          <cell r="G9" t="str">
            <v>18-050093915-1</v>
          </cell>
          <cell r="H9" t="str">
            <v>1211-2404-8876</v>
          </cell>
        </row>
        <row r="10">
          <cell r="E10" t="str">
            <v>CARIQUITAN, MERAFLOR LABASTIDA</v>
          </cell>
          <cell r="F10" t="str">
            <v>08-1916119-8</v>
          </cell>
          <cell r="G10" t="str">
            <v>19-026146193-9</v>
          </cell>
          <cell r="H10" t="str">
            <v>1211-6917-4518</v>
          </cell>
        </row>
        <row r="11">
          <cell r="E11" t="str">
            <v>DANWATA, CHRISTIAN GEZER</v>
          </cell>
          <cell r="F11" t="str">
            <v>34-9533943-5</v>
          </cell>
          <cell r="G11" t="str">
            <v>16-025893170-7</v>
          </cell>
          <cell r="H11" t="str">
            <v>1212-7279-1924</v>
          </cell>
        </row>
        <row r="12">
          <cell r="E12" t="str">
            <v>DUMALAOG, RINGO JUANICH</v>
          </cell>
          <cell r="F12" t="str">
            <v>09-2323383-1</v>
          </cell>
          <cell r="G12" t="str">
            <v>16-050108809-6</v>
          </cell>
          <cell r="H12" t="str">
            <v>1212-4549-7827</v>
          </cell>
        </row>
        <row r="13">
          <cell r="E13" t="str">
            <v>DUMANJUG, ROSELA PASINABO</v>
          </cell>
          <cell r="F13" t="str">
            <v>09-1888582-5</v>
          </cell>
          <cell r="G13" t="str">
            <v>16-025021668-5</v>
          </cell>
          <cell r="H13" t="str">
            <v>1880-0141-5963</v>
          </cell>
        </row>
        <row r="14">
          <cell r="E14" t="str">
            <v>FERNANDO, ANTON JIEL DAYAG</v>
          </cell>
          <cell r="F14" t="str">
            <v>09-4106773-3</v>
          </cell>
          <cell r="G14" t="str">
            <v>16-025914488-1</v>
          </cell>
          <cell r="H14" t="str">
            <v>1212-7935-7446</v>
          </cell>
        </row>
        <row r="15">
          <cell r="E15" t="str">
            <v>JAYME, STEPHANY ANG</v>
          </cell>
          <cell r="F15" t="str">
            <v>09-4056586-7</v>
          </cell>
          <cell r="G15" t="str">
            <v>16-050708801-2</v>
          </cell>
          <cell r="H15" t="str">
            <v>1211-6607-4516</v>
          </cell>
        </row>
        <row r="16">
          <cell r="E16" t="str">
            <v xml:space="preserve">LAUREL, MISHELLE </v>
          </cell>
        </row>
        <row r="17">
          <cell r="E17" t="str">
            <v xml:space="preserve">MALALAY, ARLENE </v>
          </cell>
        </row>
        <row r="18">
          <cell r="E18" t="str">
            <v>MIRANDA, MARVIN FERNANDO</v>
          </cell>
          <cell r="F18" t="str">
            <v>02-3649462-6</v>
          </cell>
          <cell r="G18" t="str">
            <v>07-025671833-0</v>
          </cell>
          <cell r="H18" t="str">
            <v>1211-1572-8493</v>
          </cell>
        </row>
        <row r="19">
          <cell r="E19" t="str">
            <v>MIRASOL, APRIL GRACE MILITAR</v>
          </cell>
          <cell r="F19" t="str">
            <v>09-4454037-0</v>
          </cell>
          <cell r="G19" t="str">
            <v>17-250642832-2</v>
          </cell>
          <cell r="H19" t="str">
            <v>For Processing</v>
          </cell>
        </row>
        <row r="20">
          <cell r="E20" t="str">
            <v>OLIVAR, JOHN ADRIAN CAHAPAY</v>
          </cell>
          <cell r="F20" t="str">
            <v>09-4014243-9</v>
          </cell>
          <cell r="G20" t="str">
            <v>16-252310444-6</v>
          </cell>
          <cell r="H20" t="str">
            <v>1211-6064-0121</v>
          </cell>
        </row>
        <row r="21">
          <cell r="E21" t="str">
            <v>OSABEL, DIEGO EMMANUEL SETORIO SAI</v>
          </cell>
          <cell r="F21" t="str">
            <v>34-9667724-8</v>
          </cell>
          <cell r="G21" t="str">
            <v>16-025896987-9</v>
          </cell>
          <cell r="H21" t="str">
            <v>1212-7414-4345</v>
          </cell>
        </row>
        <row r="22">
          <cell r="E22" t="str">
            <v>PACLIBAR, VLADIMIR ABE AGNO</v>
          </cell>
          <cell r="F22" t="str">
            <v>09-3143066-8</v>
          </cell>
          <cell r="G22" t="str">
            <v>16-050538777-2</v>
          </cell>
          <cell r="H22" t="str">
            <v>1212-4866-7156</v>
          </cell>
        </row>
        <row r="23">
          <cell r="E23" t="str">
            <v>PASAPORTE, RIVA JEAN TAGANAIT</v>
          </cell>
          <cell r="F23" t="str">
            <v>09-3855158-2</v>
          </cell>
          <cell r="G23" t="str">
            <v>16-201145850-5</v>
          </cell>
          <cell r="H23" t="str">
            <v>1211-3406-3374</v>
          </cell>
        </row>
        <row r="24">
          <cell r="E24" t="str">
            <v xml:space="preserve">PULBERA, ROSANNA </v>
          </cell>
          <cell r="F24" t="str">
            <v>08-1816081-5</v>
          </cell>
          <cell r="G24" t="str">
            <v>18-050088359-4</v>
          </cell>
          <cell r="H24" t="str">
            <v>1211-3032-8384</v>
          </cell>
        </row>
        <row r="25">
          <cell r="E25" t="str">
            <v>SABEJON, MARY JANE BUNGABONG</v>
          </cell>
          <cell r="F25" t="str">
            <v>08-1312632-0</v>
          </cell>
          <cell r="G25" t="str">
            <v>15-050116946-5</v>
          </cell>
          <cell r="H25" t="str">
            <v>1210-9167-0968</v>
          </cell>
        </row>
        <row r="26">
          <cell r="E26" t="str">
            <v>SALCEDO, RICHARD PAUL TUMOLAC</v>
          </cell>
          <cell r="F26" t="str">
            <v>09-3005592-1</v>
          </cell>
          <cell r="G26" t="str">
            <v>16-050341544-2</v>
          </cell>
          <cell r="H26" t="str">
            <v>1211-0884-9020</v>
          </cell>
        </row>
        <row r="27">
          <cell r="E27" t="str">
            <v>SAMOG-OY, LEVI ANA JAMOROL</v>
          </cell>
          <cell r="F27" t="str">
            <v>09-1889859-5</v>
          </cell>
          <cell r="G27" t="str">
            <v>19-090118267-5</v>
          </cell>
          <cell r="H27" t="str">
            <v>1090-0225-8222</v>
          </cell>
        </row>
        <row r="28">
          <cell r="E28" t="str">
            <v>SATORRE, ENGELBERT MASANEGRA</v>
          </cell>
          <cell r="F28" t="str">
            <v>09-2046445-4</v>
          </cell>
          <cell r="G28" t="str">
            <v>19-089535584-8</v>
          </cell>
          <cell r="H28" t="str">
            <v>1211-9276-7404</v>
          </cell>
        </row>
        <row r="29">
          <cell r="E29" t="str">
            <v>TEMBLOR, CHARLENE BALURAN</v>
          </cell>
          <cell r="F29" t="str">
            <v>09-4653320-4</v>
          </cell>
          <cell r="G29" t="str">
            <v>16-2509230021</v>
          </cell>
          <cell r="H29" t="str">
            <v>1212-8029-5889</v>
          </cell>
        </row>
        <row r="30">
          <cell r="E30" t="str">
            <v/>
          </cell>
        </row>
        <row r="31">
          <cell r="E31" t="str">
            <v/>
          </cell>
        </row>
        <row r="32">
          <cell r="E32" t="str">
            <v/>
          </cell>
        </row>
        <row r="33">
          <cell r="E33" t="str">
            <v/>
          </cell>
        </row>
        <row r="34">
          <cell r="E34" t="str">
            <v/>
          </cell>
        </row>
        <row r="35">
          <cell r="E35" t="str">
            <v/>
          </cell>
        </row>
        <row r="36">
          <cell r="E36" t="str">
            <v/>
          </cell>
        </row>
        <row r="37">
          <cell r="E37" t="str">
            <v/>
          </cell>
        </row>
        <row r="38">
          <cell r="E38" t="str">
            <v/>
          </cell>
        </row>
        <row r="39">
          <cell r="E39" t="str">
            <v/>
          </cell>
        </row>
        <row r="40">
          <cell r="E40" t="str">
            <v/>
          </cell>
        </row>
        <row r="41">
          <cell r="E41" t="str">
            <v/>
          </cell>
        </row>
        <row r="42">
          <cell r="E42" t="str">
            <v/>
          </cell>
        </row>
        <row r="43">
          <cell r="E43" t="str">
            <v/>
          </cell>
        </row>
        <row r="44">
          <cell r="E44" t="str">
            <v/>
          </cell>
        </row>
        <row r="45">
          <cell r="E45" t="str">
            <v/>
          </cell>
        </row>
        <row r="46">
          <cell r="E46" t="str">
            <v/>
          </cell>
        </row>
        <row r="47">
          <cell r="E47" t="str">
            <v/>
          </cell>
        </row>
        <row r="48">
          <cell r="E48" t="str">
            <v/>
          </cell>
        </row>
        <row r="49">
          <cell r="E49" t="str">
            <v/>
          </cell>
        </row>
        <row r="50">
          <cell r="E50" t="str">
            <v/>
          </cell>
        </row>
        <row r="51">
          <cell r="E51" t="str">
            <v/>
          </cell>
        </row>
        <row r="52">
          <cell r="E52" t="str">
            <v/>
          </cell>
        </row>
        <row r="53">
          <cell r="E53" t="str">
            <v/>
          </cell>
        </row>
        <row r="54">
          <cell r="E54" t="str">
            <v/>
          </cell>
        </row>
        <row r="55">
          <cell r="E55" t="str">
            <v/>
          </cell>
        </row>
        <row r="56">
          <cell r="E56" t="str">
            <v/>
          </cell>
        </row>
        <row r="57">
          <cell r="E57" t="str">
            <v/>
          </cell>
        </row>
        <row r="58">
          <cell r="E58" t="str">
            <v/>
          </cell>
        </row>
        <row r="59">
          <cell r="E59" t="str">
            <v/>
          </cell>
        </row>
        <row r="60">
          <cell r="E60" t="str">
            <v/>
          </cell>
        </row>
        <row r="61">
          <cell r="E61" t="str">
            <v/>
          </cell>
        </row>
        <row r="62">
          <cell r="E62" t="str">
            <v/>
          </cell>
        </row>
        <row r="63">
          <cell r="E63" t="str">
            <v/>
          </cell>
        </row>
        <row r="64">
          <cell r="E64" t="str">
            <v/>
          </cell>
        </row>
        <row r="65">
          <cell r="E65" t="str">
            <v/>
          </cell>
        </row>
        <row r="66">
          <cell r="E66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">
          <cell r="B9" t="str">
            <v>DIOKNO, NESLER JOHN DELA CRUZ</v>
          </cell>
          <cell r="C9" t="str">
            <v>secret</v>
          </cell>
          <cell r="D9" t="str">
            <v>emp-001</v>
          </cell>
          <cell r="E9" t="str">
            <v>any</v>
          </cell>
          <cell r="F9" t="str">
            <v>Single</v>
          </cell>
          <cell r="H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O9">
            <v>0</v>
          </cell>
          <cell r="Q9">
            <v>0</v>
          </cell>
          <cell r="S9">
            <v>0</v>
          </cell>
          <cell r="T9">
            <v>0</v>
          </cell>
          <cell r="U9">
            <v>0</v>
          </cell>
          <cell r="W9">
            <v>0</v>
          </cell>
          <cell r="Y9">
            <v>0</v>
          </cell>
          <cell r="AA9">
            <v>0</v>
          </cell>
          <cell r="AC9">
            <v>0</v>
          </cell>
          <cell r="AE9">
            <v>0</v>
          </cell>
          <cell r="AG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O9">
            <v>0</v>
          </cell>
          <cell r="AQ9">
            <v>0</v>
          </cell>
          <cell r="AS9">
            <v>0</v>
          </cell>
          <cell r="AU9">
            <v>0</v>
          </cell>
          <cell r="AW9">
            <v>0</v>
          </cell>
          <cell r="AY9">
            <v>0</v>
          </cell>
          <cell r="BA9">
            <v>0</v>
          </cell>
          <cell r="BC9">
            <v>0</v>
          </cell>
          <cell r="BE9">
            <v>0</v>
          </cell>
          <cell r="BF9">
            <v>0</v>
          </cell>
          <cell r="BG9">
            <v>0</v>
          </cell>
          <cell r="BI9">
            <v>9</v>
          </cell>
          <cell r="BJ9">
            <v>9</v>
          </cell>
          <cell r="BO9">
            <v>9</v>
          </cell>
          <cell r="BP9">
            <v>9</v>
          </cell>
          <cell r="BQ9">
            <v>0</v>
          </cell>
          <cell r="BR9">
            <v>0</v>
          </cell>
          <cell r="CC9">
            <v>0</v>
          </cell>
          <cell r="CE9">
            <v>0</v>
          </cell>
          <cell r="CG9">
            <v>0</v>
          </cell>
          <cell r="CI9">
            <v>0</v>
          </cell>
          <cell r="CJ9">
            <v>0</v>
          </cell>
          <cell r="CK9" t="str">
            <v/>
          </cell>
          <cell r="CL9" t="str">
            <v/>
          </cell>
          <cell r="CM9" t="str">
            <v/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DC9">
            <v>0</v>
          </cell>
          <cell r="DH9">
            <v>0</v>
          </cell>
          <cell r="DO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B9">
            <v>27417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1142.375</v>
          </cell>
          <cell r="EP9">
            <v>0</v>
          </cell>
          <cell r="EQ9">
            <v>30000</v>
          </cell>
          <cell r="ER9">
            <v>10000</v>
          </cell>
          <cell r="ES9">
            <v>0</v>
          </cell>
          <cell r="ET9">
            <v>40000</v>
          </cell>
          <cell r="EU9">
            <v>67417</v>
          </cell>
          <cell r="EV9">
            <v>0</v>
          </cell>
          <cell r="EW9">
            <v>-3037.5</v>
          </cell>
          <cell r="EX9">
            <v>-712.5</v>
          </cell>
          <cell r="EY9">
            <v>-200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-3950</v>
          </cell>
          <cell r="FJ9">
            <v>63467</v>
          </cell>
        </row>
        <row r="10">
          <cell r="H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O10">
            <v>0</v>
          </cell>
          <cell r="Q10">
            <v>0</v>
          </cell>
          <cell r="S10">
            <v>0</v>
          </cell>
          <cell r="T10">
            <v>0</v>
          </cell>
          <cell r="U10">
            <v>0</v>
          </cell>
          <cell r="W10">
            <v>0</v>
          </cell>
          <cell r="Y10">
            <v>0</v>
          </cell>
          <cell r="AA10">
            <v>0</v>
          </cell>
          <cell r="AC10">
            <v>0</v>
          </cell>
          <cell r="AE10">
            <v>0</v>
          </cell>
          <cell r="AG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O10">
            <v>0</v>
          </cell>
          <cell r="AQ10">
            <v>0</v>
          </cell>
          <cell r="AS10">
            <v>0</v>
          </cell>
          <cell r="AU10">
            <v>0</v>
          </cell>
          <cell r="AW10">
            <v>0</v>
          </cell>
          <cell r="AY10">
            <v>0</v>
          </cell>
          <cell r="BA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I10">
            <v>0</v>
          </cell>
          <cell r="BJ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CC10">
            <v>0</v>
          </cell>
          <cell r="CE10">
            <v>0</v>
          </cell>
          <cell r="CG10">
            <v>0</v>
          </cell>
          <cell r="CI10">
            <v>0</v>
          </cell>
          <cell r="CJ10">
            <v>0</v>
          </cell>
          <cell r="CK10" t="str">
            <v/>
          </cell>
          <cell r="CL10" t="str">
            <v/>
          </cell>
          <cell r="CM10" t="str">
            <v/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DC10">
            <v>0</v>
          </cell>
          <cell r="DH10">
            <v>0</v>
          </cell>
          <cell r="DO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</row>
        <row r="11">
          <cell r="H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Q11">
            <v>0</v>
          </cell>
          <cell r="S11">
            <v>0</v>
          </cell>
          <cell r="T11">
            <v>0</v>
          </cell>
          <cell r="U11">
            <v>0</v>
          </cell>
          <cell r="W11">
            <v>0</v>
          </cell>
          <cell r="Y11">
            <v>0</v>
          </cell>
          <cell r="AA11">
            <v>0</v>
          </cell>
          <cell r="AC11">
            <v>0</v>
          </cell>
          <cell r="AE11">
            <v>0</v>
          </cell>
          <cell r="AG11">
            <v>0</v>
          </cell>
          <cell r="AI11">
            <v>0</v>
          </cell>
          <cell r="AK11">
            <v>0</v>
          </cell>
          <cell r="AL11">
            <v>0</v>
          </cell>
          <cell r="AM11">
            <v>0</v>
          </cell>
          <cell r="AO11">
            <v>0</v>
          </cell>
          <cell r="AQ11">
            <v>0</v>
          </cell>
          <cell r="AS11">
            <v>0</v>
          </cell>
          <cell r="AU11">
            <v>0</v>
          </cell>
          <cell r="AW11">
            <v>0</v>
          </cell>
          <cell r="AY11">
            <v>0</v>
          </cell>
          <cell r="BA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I11">
            <v>0</v>
          </cell>
          <cell r="BJ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CC11">
            <v>0</v>
          </cell>
          <cell r="CE11">
            <v>0</v>
          </cell>
          <cell r="CG11">
            <v>0</v>
          </cell>
          <cell r="CI11">
            <v>0</v>
          </cell>
          <cell r="CJ11">
            <v>0</v>
          </cell>
          <cell r="CK11" t="str">
            <v/>
          </cell>
          <cell r="CL11" t="str">
            <v/>
          </cell>
          <cell r="CM11" t="str">
            <v/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DC11">
            <v>0</v>
          </cell>
          <cell r="DH11">
            <v>0</v>
          </cell>
          <cell r="DO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</row>
        <row r="12">
          <cell r="H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Q12">
            <v>0</v>
          </cell>
          <cell r="S12">
            <v>0</v>
          </cell>
          <cell r="T12">
            <v>0</v>
          </cell>
          <cell r="U12">
            <v>0</v>
          </cell>
          <cell r="W12">
            <v>0</v>
          </cell>
          <cell r="Y12">
            <v>0</v>
          </cell>
          <cell r="AA12">
            <v>0</v>
          </cell>
          <cell r="AC12">
            <v>0</v>
          </cell>
          <cell r="AE12">
            <v>0</v>
          </cell>
          <cell r="AG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O12">
            <v>0</v>
          </cell>
          <cell r="AQ12">
            <v>0</v>
          </cell>
          <cell r="AS12">
            <v>0</v>
          </cell>
          <cell r="AU12">
            <v>0</v>
          </cell>
          <cell r="AW12">
            <v>0</v>
          </cell>
          <cell r="AY12">
            <v>0</v>
          </cell>
          <cell r="BA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I12">
            <v>0</v>
          </cell>
          <cell r="BJ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CC12">
            <v>0</v>
          </cell>
          <cell r="CE12">
            <v>0</v>
          </cell>
          <cell r="CG12">
            <v>0</v>
          </cell>
          <cell r="CI12">
            <v>0</v>
          </cell>
          <cell r="CJ12">
            <v>0</v>
          </cell>
          <cell r="CK12" t="str">
            <v/>
          </cell>
          <cell r="CL12" t="str">
            <v/>
          </cell>
          <cell r="CM12" t="str">
            <v/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DC12">
            <v>0</v>
          </cell>
          <cell r="DH12">
            <v>0</v>
          </cell>
          <cell r="DO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H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Q13">
            <v>0</v>
          </cell>
          <cell r="S13">
            <v>0</v>
          </cell>
          <cell r="T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C13">
            <v>0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W13">
            <v>0</v>
          </cell>
          <cell r="AY13">
            <v>0</v>
          </cell>
          <cell r="BA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I13">
            <v>0</v>
          </cell>
          <cell r="BJ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CC13">
            <v>0</v>
          </cell>
          <cell r="CE13">
            <v>0</v>
          </cell>
          <cell r="CG13">
            <v>0</v>
          </cell>
          <cell r="CI13">
            <v>0</v>
          </cell>
          <cell r="CJ13">
            <v>0</v>
          </cell>
          <cell r="CK13" t="str">
            <v/>
          </cell>
          <cell r="CL13" t="str">
            <v/>
          </cell>
          <cell r="CM13" t="str">
            <v/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DC13">
            <v>0</v>
          </cell>
          <cell r="DH13">
            <v>0</v>
          </cell>
          <cell r="DO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</row>
        <row r="14">
          <cell r="H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T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  <cell r="AC14">
            <v>0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L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0</v>
          </cell>
          <cell r="AW14">
            <v>0</v>
          </cell>
          <cell r="AY14">
            <v>0</v>
          </cell>
          <cell r="BA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I14">
            <v>0</v>
          </cell>
          <cell r="BJ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J14">
            <v>0</v>
          </cell>
          <cell r="CK14" t="str">
            <v/>
          </cell>
          <cell r="CL14" t="str">
            <v/>
          </cell>
          <cell r="CM14" t="str">
            <v/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DC14">
            <v>0</v>
          </cell>
          <cell r="DH14">
            <v>0</v>
          </cell>
          <cell r="DO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</row>
        <row r="15">
          <cell r="H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O15">
            <v>0</v>
          </cell>
          <cell r="Q15">
            <v>0</v>
          </cell>
          <cell r="S15">
            <v>0</v>
          </cell>
          <cell r="T15">
            <v>0</v>
          </cell>
          <cell r="U15">
            <v>0</v>
          </cell>
          <cell r="W15">
            <v>0</v>
          </cell>
          <cell r="Y15">
            <v>0</v>
          </cell>
          <cell r="AA15">
            <v>0</v>
          </cell>
          <cell r="AC15">
            <v>0</v>
          </cell>
          <cell r="AE15">
            <v>0</v>
          </cell>
          <cell r="AG15">
            <v>0</v>
          </cell>
          <cell r="AI15">
            <v>0</v>
          </cell>
          <cell r="AK15">
            <v>0</v>
          </cell>
          <cell r="AL15">
            <v>0</v>
          </cell>
          <cell r="AM15">
            <v>0</v>
          </cell>
          <cell r="AO15">
            <v>0</v>
          </cell>
          <cell r="AQ15">
            <v>0</v>
          </cell>
          <cell r="AS15">
            <v>0</v>
          </cell>
          <cell r="AU15">
            <v>0</v>
          </cell>
          <cell r="AW15">
            <v>0</v>
          </cell>
          <cell r="AY15">
            <v>0</v>
          </cell>
          <cell r="BA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I15">
            <v>0</v>
          </cell>
          <cell r="BJ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J15">
            <v>0</v>
          </cell>
          <cell r="CK15" t="str">
            <v/>
          </cell>
          <cell r="CL15" t="str">
            <v/>
          </cell>
          <cell r="CM15" t="str">
            <v/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DC15">
            <v>0</v>
          </cell>
          <cell r="DH15">
            <v>0</v>
          </cell>
          <cell r="DO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</row>
        <row r="16">
          <cell r="H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O16">
            <v>0</v>
          </cell>
          <cell r="Q16">
            <v>0</v>
          </cell>
          <cell r="S16">
            <v>0</v>
          </cell>
          <cell r="T16">
            <v>0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C16">
            <v>0</v>
          </cell>
          <cell r="AE16">
            <v>0</v>
          </cell>
          <cell r="AG16">
            <v>0</v>
          </cell>
          <cell r="AI16">
            <v>0</v>
          </cell>
          <cell r="AK16">
            <v>0</v>
          </cell>
          <cell r="AL16">
            <v>0</v>
          </cell>
          <cell r="AM16">
            <v>0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W16">
            <v>0</v>
          </cell>
          <cell r="AY16">
            <v>0</v>
          </cell>
          <cell r="BA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I16">
            <v>0</v>
          </cell>
          <cell r="BJ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J16">
            <v>0</v>
          </cell>
          <cell r="CK16" t="str">
            <v/>
          </cell>
          <cell r="CL16" t="str">
            <v/>
          </cell>
          <cell r="CM16" t="str">
            <v/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DC16">
            <v>0</v>
          </cell>
          <cell r="DH16">
            <v>0</v>
          </cell>
          <cell r="DO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H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O17">
            <v>0</v>
          </cell>
          <cell r="Q17">
            <v>0</v>
          </cell>
          <cell r="S17">
            <v>0</v>
          </cell>
          <cell r="T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0</v>
          </cell>
          <cell r="AE17">
            <v>0</v>
          </cell>
          <cell r="AG17">
            <v>0</v>
          </cell>
          <cell r="AI17">
            <v>0</v>
          </cell>
          <cell r="AK17">
            <v>0</v>
          </cell>
          <cell r="AL17">
            <v>0</v>
          </cell>
          <cell r="AM17">
            <v>0</v>
          </cell>
          <cell r="AO17">
            <v>0</v>
          </cell>
          <cell r="AQ17">
            <v>0</v>
          </cell>
          <cell r="AS17">
            <v>0</v>
          </cell>
          <cell r="AU17">
            <v>0</v>
          </cell>
          <cell r="AW17">
            <v>0</v>
          </cell>
          <cell r="AY17">
            <v>0</v>
          </cell>
          <cell r="BA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I17">
            <v>0</v>
          </cell>
          <cell r="BJ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J17">
            <v>0</v>
          </cell>
          <cell r="CK17" t="str">
            <v/>
          </cell>
          <cell r="CL17" t="str">
            <v/>
          </cell>
          <cell r="CM17" t="str">
            <v/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DC17">
            <v>0</v>
          </cell>
          <cell r="DH17">
            <v>0</v>
          </cell>
          <cell r="DO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O18">
            <v>0</v>
          </cell>
          <cell r="Q18">
            <v>0</v>
          </cell>
          <cell r="S18">
            <v>0</v>
          </cell>
          <cell r="T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0</v>
          </cell>
          <cell r="AE18">
            <v>0</v>
          </cell>
          <cell r="AG18">
            <v>0</v>
          </cell>
          <cell r="AI18">
            <v>0</v>
          </cell>
          <cell r="AK18">
            <v>0</v>
          </cell>
          <cell r="AL18">
            <v>0</v>
          </cell>
          <cell r="AM18">
            <v>0</v>
          </cell>
          <cell r="AO18">
            <v>0</v>
          </cell>
          <cell r="AQ18">
            <v>0</v>
          </cell>
          <cell r="AS18">
            <v>0</v>
          </cell>
          <cell r="AU18">
            <v>0</v>
          </cell>
          <cell r="AW18">
            <v>0</v>
          </cell>
          <cell r="AY18">
            <v>0</v>
          </cell>
          <cell r="BA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I18">
            <v>0</v>
          </cell>
          <cell r="BJ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J18">
            <v>0</v>
          </cell>
          <cell r="CK18" t="str">
            <v/>
          </cell>
          <cell r="CL18" t="str">
            <v/>
          </cell>
          <cell r="CM18" t="str">
            <v/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DC18">
            <v>0</v>
          </cell>
          <cell r="DH18">
            <v>0</v>
          </cell>
          <cell r="DO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</row>
        <row r="19">
          <cell r="H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T19">
            <v>0</v>
          </cell>
          <cell r="U19">
            <v>0</v>
          </cell>
          <cell r="W19">
            <v>0</v>
          </cell>
          <cell r="Y19">
            <v>0</v>
          </cell>
          <cell r="AA19">
            <v>0</v>
          </cell>
          <cell r="AC19">
            <v>0</v>
          </cell>
          <cell r="AE19">
            <v>0</v>
          </cell>
          <cell r="AG19">
            <v>0</v>
          </cell>
          <cell r="AI19">
            <v>0</v>
          </cell>
          <cell r="AK19">
            <v>0</v>
          </cell>
          <cell r="AL19">
            <v>0</v>
          </cell>
          <cell r="AM19">
            <v>0</v>
          </cell>
          <cell r="AO19">
            <v>0</v>
          </cell>
          <cell r="AQ19">
            <v>0</v>
          </cell>
          <cell r="AS19">
            <v>0</v>
          </cell>
          <cell r="AU19">
            <v>0</v>
          </cell>
          <cell r="AW19">
            <v>0</v>
          </cell>
          <cell r="AY19">
            <v>0</v>
          </cell>
          <cell r="BA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I19">
            <v>0</v>
          </cell>
          <cell r="BJ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J19">
            <v>0</v>
          </cell>
          <cell r="CK19" t="str">
            <v/>
          </cell>
          <cell r="CL19" t="str">
            <v/>
          </cell>
          <cell r="CM19" t="str">
            <v/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DC19">
            <v>0</v>
          </cell>
          <cell r="DH19">
            <v>0</v>
          </cell>
          <cell r="DO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H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O20">
            <v>0</v>
          </cell>
          <cell r="Q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Y20">
            <v>0</v>
          </cell>
          <cell r="AA20">
            <v>0</v>
          </cell>
          <cell r="AC20">
            <v>0</v>
          </cell>
          <cell r="AE20">
            <v>0</v>
          </cell>
          <cell r="AG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O20">
            <v>0</v>
          </cell>
          <cell r="AQ20">
            <v>0</v>
          </cell>
          <cell r="AS20">
            <v>0</v>
          </cell>
          <cell r="AU20">
            <v>0</v>
          </cell>
          <cell r="AW20">
            <v>0</v>
          </cell>
          <cell r="AY20">
            <v>0</v>
          </cell>
          <cell r="BA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I20">
            <v>0</v>
          </cell>
          <cell r="BJ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J20">
            <v>0</v>
          </cell>
          <cell r="CK20" t="str">
            <v/>
          </cell>
          <cell r="CL20" t="str">
            <v/>
          </cell>
          <cell r="CM20" t="str">
            <v/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DC20">
            <v>0</v>
          </cell>
          <cell r="DH20">
            <v>0</v>
          </cell>
          <cell r="DO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H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O21">
            <v>0</v>
          </cell>
          <cell r="Q21">
            <v>0</v>
          </cell>
          <cell r="S21">
            <v>0</v>
          </cell>
          <cell r="T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0</v>
          </cell>
          <cell r="AE21">
            <v>0</v>
          </cell>
          <cell r="AG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W21">
            <v>0</v>
          </cell>
          <cell r="AY21">
            <v>0</v>
          </cell>
          <cell r="BA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I21">
            <v>0</v>
          </cell>
          <cell r="BJ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J21">
            <v>0</v>
          </cell>
          <cell r="CK21" t="str">
            <v/>
          </cell>
          <cell r="CL21" t="str">
            <v/>
          </cell>
          <cell r="CM21" t="str">
            <v/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DC21">
            <v>0</v>
          </cell>
          <cell r="DH21">
            <v>0</v>
          </cell>
          <cell r="DO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</row>
        <row r="22"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T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0</v>
          </cell>
          <cell r="AE22">
            <v>0</v>
          </cell>
          <cell r="AG22">
            <v>0</v>
          </cell>
          <cell r="AI22">
            <v>0</v>
          </cell>
          <cell r="AK22">
            <v>0</v>
          </cell>
          <cell r="AL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W22">
            <v>0</v>
          </cell>
          <cell r="AY22">
            <v>0</v>
          </cell>
          <cell r="BA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I22">
            <v>0</v>
          </cell>
          <cell r="BJ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J22">
            <v>0</v>
          </cell>
          <cell r="CK22" t="str">
            <v/>
          </cell>
          <cell r="CL22" t="str">
            <v/>
          </cell>
          <cell r="CM22" t="str">
            <v/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DC22">
            <v>0</v>
          </cell>
          <cell r="DH22">
            <v>0</v>
          </cell>
          <cell r="DO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</row>
        <row r="23">
          <cell r="H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T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C23">
            <v>0</v>
          </cell>
          <cell r="AE23">
            <v>0</v>
          </cell>
          <cell r="AG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O23">
            <v>0</v>
          </cell>
          <cell r="AQ23">
            <v>0</v>
          </cell>
          <cell r="AS23">
            <v>0</v>
          </cell>
          <cell r="AU23">
            <v>0</v>
          </cell>
          <cell r="AW23">
            <v>0</v>
          </cell>
          <cell r="AY23">
            <v>0</v>
          </cell>
          <cell r="BA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I23">
            <v>0</v>
          </cell>
          <cell r="BJ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J23">
            <v>0</v>
          </cell>
          <cell r="CK23" t="str">
            <v/>
          </cell>
          <cell r="CL23" t="str">
            <v/>
          </cell>
          <cell r="CM23" t="str">
            <v/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DC23">
            <v>0</v>
          </cell>
          <cell r="DH23">
            <v>0</v>
          </cell>
          <cell r="DO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</row>
        <row r="24"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T24">
            <v>0</v>
          </cell>
          <cell r="U24">
            <v>0</v>
          </cell>
          <cell r="W24">
            <v>0</v>
          </cell>
          <cell r="Y24">
            <v>0</v>
          </cell>
          <cell r="AA24">
            <v>0</v>
          </cell>
          <cell r="AC24">
            <v>0</v>
          </cell>
          <cell r="AE24">
            <v>0</v>
          </cell>
          <cell r="AG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O24">
            <v>0</v>
          </cell>
          <cell r="AQ24">
            <v>0</v>
          </cell>
          <cell r="AS24">
            <v>0</v>
          </cell>
          <cell r="AU24">
            <v>0</v>
          </cell>
          <cell r="AW24">
            <v>0</v>
          </cell>
          <cell r="AY24">
            <v>0</v>
          </cell>
          <cell r="BA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I24">
            <v>0</v>
          </cell>
          <cell r="BJ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J24">
            <v>0</v>
          </cell>
          <cell r="CK24" t="str">
            <v/>
          </cell>
          <cell r="CL24" t="str">
            <v/>
          </cell>
          <cell r="CM24" t="str">
            <v/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DC24">
            <v>0</v>
          </cell>
          <cell r="DH24">
            <v>0</v>
          </cell>
          <cell r="DO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</row>
        <row r="25">
          <cell r="H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Q25">
            <v>0</v>
          </cell>
          <cell r="S25">
            <v>0</v>
          </cell>
          <cell r="T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0</v>
          </cell>
          <cell r="AG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W25">
            <v>0</v>
          </cell>
          <cell r="AY25">
            <v>0</v>
          </cell>
          <cell r="BA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I25">
            <v>0</v>
          </cell>
          <cell r="BJ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J25">
            <v>0</v>
          </cell>
          <cell r="CK25" t="str">
            <v/>
          </cell>
          <cell r="CL25" t="str">
            <v/>
          </cell>
          <cell r="CM25" t="str">
            <v/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DC25">
            <v>0</v>
          </cell>
          <cell r="DH25">
            <v>0</v>
          </cell>
          <cell r="DO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</row>
        <row r="26">
          <cell r="H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O26">
            <v>0</v>
          </cell>
          <cell r="Q26">
            <v>0</v>
          </cell>
          <cell r="S26">
            <v>0</v>
          </cell>
          <cell r="T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0</v>
          </cell>
          <cell r="AG26">
            <v>0</v>
          </cell>
          <cell r="AI26">
            <v>0</v>
          </cell>
          <cell r="AK26">
            <v>0</v>
          </cell>
          <cell r="AL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W26">
            <v>0</v>
          </cell>
          <cell r="AY26">
            <v>0</v>
          </cell>
          <cell r="BA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I26">
            <v>0</v>
          </cell>
          <cell r="BJ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J26">
            <v>0</v>
          </cell>
          <cell r="CK26" t="str">
            <v/>
          </cell>
          <cell r="CL26" t="str">
            <v/>
          </cell>
          <cell r="CM26" t="str">
            <v/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DC26">
            <v>0</v>
          </cell>
          <cell r="DH26">
            <v>0</v>
          </cell>
          <cell r="DO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</row>
        <row r="27">
          <cell r="H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O27">
            <v>0</v>
          </cell>
          <cell r="Q27">
            <v>0</v>
          </cell>
          <cell r="S27">
            <v>0</v>
          </cell>
          <cell r="T27">
            <v>0</v>
          </cell>
          <cell r="U27">
            <v>0</v>
          </cell>
          <cell r="W27">
            <v>0</v>
          </cell>
          <cell r="Y27">
            <v>0</v>
          </cell>
          <cell r="AA27">
            <v>0</v>
          </cell>
          <cell r="AC27">
            <v>0</v>
          </cell>
          <cell r="AE27">
            <v>0</v>
          </cell>
          <cell r="AG27">
            <v>0</v>
          </cell>
          <cell r="AI27">
            <v>0</v>
          </cell>
          <cell r="AK27">
            <v>0</v>
          </cell>
          <cell r="AL27">
            <v>0</v>
          </cell>
          <cell r="AM27">
            <v>0</v>
          </cell>
          <cell r="AO27">
            <v>0</v>
          </cell>
          <cell r="AQ27">
            <v>0</v>
          </cell>
          <cell r="AS27">
            <v>0</v>
          </cell>
          <cell r="AU27">
            <v>0</v>
          </cell>
          <cell r="AW27">
            <v>0</v>
          </cell>
          <cell r="AY27">
            <v>0</v>
          </cell>
          <cell r="BA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I27">
            <v>0</v>
          </cell>
          <cell r="BJ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J27">
            <v>0</v>
          </cell>
          <cell r="CK27" t="str">
            <v/>
          </cell>
          <cell r="CL27" t="str">
            <v/>
          </cell>
          <cell r="CM27" t="str">
            <v/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DC27">
            <v>0</v>
          </cell>
          <cell r="DH27">
            <v>0</v>
          </cell>
          <cell r="DO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</row>
        <row r="28">
          <cell r="H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O28">
            <v>0</v>
          </cell>
          <cell r="Q28">
            <v>0</v>
          </cell>
          <cell r="S28">
            <v>0</v>
          </cell>
          <cell r="T28">
            <v>0</v>
          </cell>
          <cell r="U28">
            <v>0</v>
          </cell>
          <cell r="W28">
            <v>0</v>
          </cell>
          <cell r="Y28">
            <v>0</v>
          </cell>
          <cell r="AA28">
            <v>0</v>
          </cell>
          <cell r="AC28">
            <v>0</v>
          </cell>
          <cell r="AE28">
            <v>0</v>
          </cell>
          <cell r="AG28">
            <v>0</v>
          </cell>
          <cell r="AI28">
            <v>0</v>
          </cell>
          <cell r="AK28">
            <v>0</v>
          </cell>
          <cell r="AL28">
            <v>0</v>
          </cell>
          <cell r="AM28">
            <v>0</v>
          </cell>
          <cell r="AO28">
            <v>0</v>
          </cell>
          <cell r="AQ28">
            <v>0</v>
          </cell>
          <cell r="AS28">
            <v>0</v>
          </cell>
          <cell r="AU28">
            <v>0</v>
          </cell>
          <cell r="AW28">
            <v>0</v>
          </cell>
          <cell r="AY28">
            <v>0</v>
          </cell>
          <cell r="BA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I28">
            <v>0</v>
          </cell>
          <cell r="BJ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J28">
            <v>0</v>
          </cell>
          <cell r="CK28" t="str">
            <v/>
          </cell>
          <cell r="CL28" t="str">
            <v/>
          </cell>
          <cell r="CM28" t="str">
            <v/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DC28">
            <v>0</v>
          </cell>
          <cell r="DH28">
            <v>0</v>
          </cell>
          <cell r="DO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</row>
        <row r="29">
          <cell r="H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O29">
            <v>0</v>
          </cell>
          <cell r="Q29">
            <v>0</v>
          </cell>
          <cell r="S29">
            <v>0</v>
          </cell>
          <cell r="T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0</v>
          </cell>
          <cell r="AE29">
            <v>0</v>
          </cell>
          <cell r="AG29">
            <v>0</v>
          </cell>
          <cell r="AI29">
            <v>0</v>
          </cell>
          <cell r="AK29">
            <v>0</v>
          </cell>
          <cell r="AL29">
            <v>0</v>
          </cell>
          <cell r="AM29">
            <v>0</v>
          </cell>
          <cell r="AO29">
            <v>0</v>
          </cell>
          <cell r="AQ29">
            <v>0</v>
          </cell>
          <cell r="AS29">
            <v>0</v>
          </cell>
          <cell r="AU29">
            <v>0</v>
          </cell>
          <cell r="AW29">
            <v>0</v>
          </cell>
          <cell r="AY29">
            <v>0</v>
          </cell>
          <cell r="BA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I29">
            <v>0</v>
          </cell>
          <cell r="BJ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J29">
            <v>0</v>
          </cell>
          <cell r="CK29" t="str">
            <v/>
          </cell>
          <cell r="CL29" t="str">
            <v/>
          </cell>
          <cell r="CM29" t="str">
            <v/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DC29">
            <v>0</v>
          </cell>
          <cell r="DH29">
            <v>0</v>
          </cell>
          <cell r="DO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</row>
        <row r="30">
          <cell r="H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O30">
            <v>0</v>
          </cell>
          <cell r="Q30">
            <v>0</v>
          </cell>
          <cell r="S30">
            <v>0</v>
          </cell>
          <cell r="T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0</v>
          </cell>
          <cell r="AE30">
            <v>0</v>
          </cell>
          <cell r="AG30">
            <v>0</v>
          </cell>
          <cell r="AI30">
            <v>0</v>
          </cell>
          <cell r="AK30">
            <v>0</v>
          </cell>
          <cell r="AL30">
            <v>0</v>
          </cell>
          <cell r="AM30">
            <v>0</v>
          </cell>
          <cell r="AO30">
            <v>0</v>
          </cell>
          <cell r="AQ30">
            <v>0</v>
          </cell>
          <cell r="AS30">
            <v>0</v>
          </cell>
          <cell r="AU30">
            <v>0</v>
          </cell>
          <cell r="AW30">
            <v>0</v>
          </cell>
          <cell r="AY30">
            <v>0</v>
          </cell>
          <cell r="BA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I30">
            <v>0</v>
          </cell>
          <cell r="BJ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J30">
            <v>0</v>
          </cell>
          <cell r="CK30" t="str">
            <v/>
          </cell>
          <cell r="CL30" t="str">
            <v/>
          </cell>
          <cell r="CM30" t="str">
            <v/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DC30">
            <v>0</v>
          </cell>
          <cell r="DH30">
            <v>0</v>
          </cell>
          <cell r="DO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</row>
        <row r="31">
          <cell r="H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T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  <cell r="AC31">
            <v>0</v>
          </cell>
          <cell r="AE31">
            <v>0</v>
          </cell>
          <cell r="AG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O31">
            <v>0</v>
          </cell>
          <cell r="AQ31">
            <v>0</v>
          </cell>
          <cell r="AS31">
            <v>0</v>
          </cell>
          <cell r="AU31">
            <v>0</v>
          </cell>
          <cell r="AW31">
            <v>0</v>
          </cell>
          <cell r="AY31">
            <v>0</v>
          </cell>
          <cell r="BA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I31">
            <v>0</v>
          </cell>
          <cell r="BJ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J31">
            <v>0</v>
          </cell>
          <cell r="CK31" t="str">
            <v/>
          </cell>
          <cell r="CL31" t="str">
            <v/>
          </cell>
          <cell r="CM31" t="str">
            <v/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DC31">
            <v>0</v>
          </cell>
          <cell r="DH31">
            <v>0</v>
          </cell>
          <cell r="DO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</row>
        <row r="32">
          <cell r="H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T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O32">
            <v>0</v>
          </cell>
          <cell r="AQ32">
            <v>0</v>
          </cell>
          <cell r="AS32">
            <v>0</v>
          </cell>
          <cell r="AU32">
            <v>0</v>
          </cell>
          <cell r="AW32">
            <v>0</v>
          </cell>
          <cell r="AY32">
            <v>0</v>
          </cell>
          <cell r="BA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I32">
            <v>0</v>
          </cell>
          <cell r="BJ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J32">
            <v>0</v>
          </cell>
          <cell r="CK32" t="str">
            <v/>
          </cell>
          <cell r="CL32" t="str">
            <v/>
          </cell>
          <cell r="CM32" t="str">
            <v/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DC32">
            <v>0</v>
          </cell>
          <cell r="DH32">
            <v>0</v>
          </cell>
          <cell r="DO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</row>
        <row r="33">
          <cell r="H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  <cell r="T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O33">
            <v>0</v>
          </cell>
          <cell r="AQ33">
            <v>0</v>
          </cell>
          <cell r="AS33">
            <v>0</v>
          </cell>
          <cell r="AU33">
            <v>0</v>
          </cell>
          <cell r="AW33">
            <v>0</v>
          </cell>
          <cell r="AY33">
            <v>0</v>
          </cell>
          <cell r="BA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I33">
            <v>0</v>
          </cell>
          <cell r="BJ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J33">
            <v>0</v>
          </cell>
          <cell r="CK33" t="str">
            <v/>
          </cell>
          <cell r="CL33" t="str">
            <v/>
          </cell>
          <cell r="CM33" t="str">
            <v/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DC33">
            <v>0</v>
          </cell>
          <cell r="DH33">
            <v>0</v>
          </cell>
          <cell r="DO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</row>
        <row r="34">
          <cell r="H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O34">
            <v>0</v>
          </cell>
          <cell r="Q34">
            <v>0</v>
          </cell>
          <cell r="S34">
            <v>0</v>
          </cell>
          <cell r="T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O34">
            <v>0</v>
          </cell>
          <cell r="AQ34">
            <v>0</v>
          </cell>
          <cell r="AS34">
            <v>0</v>
          </cell>
          <cell r="AU34">
            <v>0</v>
          </cell>
          <cell r="AW34">
            <v>0</v>
          </cell>
          <cell r="AY34">
            <v>0</v>
          </cell>
          <cell r="BA34">
            <v>0</v>
          </cell>
          <cell r="BC34">
            <v>0</v>
          </cell>
          <cell r="BE34">
            <v>0</v>
          </cell>
          <cell r="BF34">
            <v>0</v>
          </cell>
          <cell r="BG34">
            <v>0</v>
          </cell>
          <cell r="BI34">
            <v>0</v>
          </cell>
          <cell r="BJ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J34">
            <v>0</v>
          </cell>
          <cell r="CK34" t="str">
            <v/>
          </cell>
          <cell r="CL34" t="str">
            <v/>
          </cell>
          <cell r="CM34" t="str">
            <v/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DC34">
            <v>0</v>
          </cell>
          <cell r="DH34">
            <v>0</v>
          </cell>
          <cell r="DO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</row>
        <row r="35">
          <cell r="H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O35">
            <v>0</v>
          </cell>
          <cell r="Q35">
            <v>0</v>
          </cell>
          <cell r="S35">
            <v>0</v>
          </cell>
          <cell r="T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O35">
            <v>0</v>
          </cell>
          <cell r="AQ35">
            <v>0</v>
          </cell>
          <cell r="AS35">
            <v>0</v>
          </cell>
          <cell r="AU35">
            <v>0</v>
          </cell>
          <cell r="AW35">
            <v>0</v>
          </cell>
          <cell r="AY35">
            <v>0</v>
          </cell>
          <cell r="BA35">
            <v>0</v>
          </cell>
          <cell r="BC35">
            <v>0</v>
          </cell>
          <cell r="BE35">
            <v>0</v>
          </cell>
          <cell r="BF35">
            <v>0</v>
          </cell>
          <cell r="BG35">
            <v>0</v>
          </cell>
          <cell r="BI35">
            <v>0</v>
          </cell>
          <cell r="BJ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J35">
            <v>0</v>
          </cell>
          <cell r="CK35" t="str">
            <v/>
          </cell>
          <cell r="CL35" t="str">
            <v/>
          </cell>
          <cell r="CM35" t="str">
            <v/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DC35">
            <v>0</v>
          </cell>
          <cell r="DH35">
            <v>0</v>
          </cell>
          <cell r="DO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H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>
            <v>0</v>
          </cell>
          <cell r="Q36">
            <v>0</v>
          </cell>
          <cell r="S36">
            <v>0</v>
          </cell>
          <cell r="T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O36">
            <v>0</v>
          </cell>
          <cell r="AQ36">
            <v>0</v>
          </cell>
          <cell r="AS36">
            <v>0</v>
          </cell>
          <cell r="AU36">
            <v>0</v>
          </cell>
          <cell r="AW36">
            <v>0</v>
          </cell>
          <cell r="AY36">
            <v>0</v>
          </cell>
          <cell r="BA36">
            <v>0</v>
          </cell>
          <cell r="BC36">
            <v>0</v>
          </cell>
          <cell r="BE36">
            <v>0</v>
          </cell>
          <cell r="BF36">
            <v>0</v>
          </cell>
          <cell r="BG36">
            <v>0</v>
          </cell>
          <cell r="BI36">
            <v>0</v>
          </cell>
          <cell r="BJ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J36">
            <v>0</v>
          </cell>
          <cell r="CK36" t="str">
            <v/>
          </cell>
          <cell r="CL36" t="str">
            <v/>
          </cell>
          <cell r="CM36" t="str">
            <v/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DC36">
            <v>0</v>
          </cell>
          <cell r="DH36">
            <v>0</v>
          </cell>
          <cell r="DO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H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O37">
            <v>0</v>
          </cell>
          <cell r="Q37">
            <v>0</v>
          </cell>
          <cell r="S37">
            <v>0</v>
          </cell>
          <cell r="T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O37">
            <v>0</v>
          </cell>
          <cell r="AQ37">
            <v>0</v>
          </cell>
          <cell r="AS37">
            <v>0</v>
          </cell>
          <cell r="AU37">
            <v>0</v>
          </cell>
          <cell r="AW37">
            <v>0</v>
          </cell>
          <cell r="AY37">
            <v>0</v>
          </cell>
          <cell r="BA37">
            <v>0</v>
          </cell>
          <cell r="BC37">
            <v>0</v>
          </cell>
          <cell r="BE37">
            <v>0</v>
          </cell>
          <cell r="BF37">
            <v>0</v>
          </cell>
          <cell r="BG37">
            <v>0</v>
          </cell>
          <cell r="BI37">
            <v>0</v>
          </cell>
          <cell r="BJ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J37">
            <v>0</v>
          </cell>
          <cell r="CK37" t="str">
            <v/>
          </cell>
          <cell r="CL37" t="str">
            <v/>
          </cell>
          <cell r="CM37" t="str">
            <v/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DC37">
            <v>0</v>
          </cell>
          <cell r="DH37">
            <v>0</v>
          </cell>
          <cell r="DO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T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O38">
            <v>0</v>
          </cell>
          <cell r="AQ38">
            <v>0</v>
          </cell>
          <cell r="AS38">
            <v>0</v>
          </cell>
          <cell r="AU38">
            <v>0</v>
          </cell>
          <cell r="AW38">
            <v>0</v>
          </cell>
          <cell r="AY38">
            <v>0</v>
          </cell>
          <cell r="BA38">
            <v>0</v>
          </cell>
          <cell r="BC38">
            <v>0</v>
          </cell>
          <cell r="BE38">
            <v>0</v>
          </cell>
          <cell r="BF38">
            <v>0</v>
          </cell>
          <cell r="BG38">
            <v>0</v>
          </cell>
          <cell r="BI38">
            <v>0</v>
          </cell>
          <cell r="BJ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J38">
            <v>0</v>
          </cell>
          <cell r="CK38" t="str">
            <v/>
          </cell>
          <cell r="CL38" t="str">
            <v/>
          </cell>
          <cell r="CM38" t="str">
            <v/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DC38">
            <v>0</v>
          </cell>
          <cell r="DH38">
            <v>0</v>
          </cell>
          <cell r="DO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H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O39">
            <v>0</v>
          </cell>
          <cell r="Q39">
            <v>0</v>
          </cell>
          <cell r="S39">
            <v>0</v>
          </cell>
          <cell r="T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O39">
            <v>0</v>
          </cell>
          <cell r="AQ39">
            <v>0</v>
          </cell>
          <cell r="AS39">
            <v>0</v>
          </cell>
          <cell r="AU39">
            <v>0</v>
          </cell>
          <cell r="AW39">
            <v>0</v>
          </cell>
          <cell r="AY39">
            <v>0</v>
          </cell>
          <cell r="BA39">
            <v>0</v>
          </cell>
          <cell r="BC39">
            <v>0</v>
          </cell>
          <cell r="BE39">
            <v>0</v>
          </cell>
          <cell r="BF39">
            <v>0</v>
          </cell>
          <cell r="BG39">
            <v>0</v>
          </cell>
          <cell r="BI39">
            <v>0</v>
          </cell>
          <cell r="BJ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J39">
            <v>0</v>
          </cell>
          <cell r="CK39" t="str">
            <v/>
          </cell>
          <cell r="CL39" t="str">
            <v/>
          </cell>
          <cell r="CM39" t="str">
            <v/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DC39">
            <v>0</v>
          </cell>
          <cell r="DH39">
            <v>0</v>
          </cell>
          <cell r="DO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H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O40">
            <v>0</v>
          </cell>
          <cell r="Q40">
            <v>0</v>
          </cell>
          <cell r="S40">
            <v>0</v>
          </cell>
          <cell r="T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O40">
            <v>0</v>
          </cell>
          <cell r="AQ40">
            <v>0</v>
          </cell>
          <cell r="AS40">
            <v>0</v>
          </cell>
          <cell r="AU40">
            <v>0</v>
          </cell>
          <cell r="AW40">
            <v>0</v>
          </cell>
          <cell r="AY40">
            <v>0</v>
          </cell>
          <cell r="BA40">
            <v>0</v>
          </cell>
          <cell r="BC40">
            <v>0</v>
          </cell>
          <cell r="BE40">
            <v>0</v>
          </cell>
          <cell r="BF40">
            <v>0</v>
          </cell>
          <cell r="BG40">
            <v>0</v>
          </cell>
          <cell r="BI40">
            <v>0</v>
          </cell>
          <cell r="BJ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J40">
            <v>0</v>
          </cell>
          <cell r="CK40" t="str">
            <v/>
          </cell>
          <cell r="CL40" t="str">
            <v/>
          </cell>
          <cell r="CM40" t="str">
            <v/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DC40">
            <v>0</v>
          </cell>
          <cell r="DH40">
            <v>0</v>
          </cell>
          <cell r="DO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</row>
        <row r="41">
          <cell r="H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O41">
            <v>0</v>
          </cell>
          <cell r="Q41">
            <v>0</v>
          </cell>
          <cell r="S41">
            <v>0</v>
          </cell>
          <cell r="T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O41">
            <v>0</v>
          </cell>
          <cell r="AQ41">
            <v>0</v>
          </cell>
          <cell r="AS41">
            <v>0</v>
          </cell>
          <cell r="AU41">
            <v>0</v>
          </cell>
          <cell r="AW41">
            <v>0</v>
          </cell>
          <cell r="AY41">
            <v>0</v>
          </cell>
          <cell r="BA41">
            <v>0</v>
          </cell>
          <cell r="BC41">
            <v>0</v>
          </cell>
          <cell r="BE41">
            <v>0</v>
          </cell>
          <cell r="BF41">
            <v>0</v>
          </cell>
          <cell r="BG41">
            <v>0</v>
          </cell>
          <cell r="BI41">
            <v>0</v>
          </cell>
          <cell r="BJ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CC41">
            <v>0</v>
          </cell>
          <cell r="CE41">
            <v>0</v>
          </cell>
          <cell r="CG41">
            <v>0</v>
          </cell>
          <cell r="CI41">
            <v>0</v>
          </cell>
          <cell r="CJ41">
            <v>0</v>
          </cell>
          <cell r="CK41" t="str">
            <v/>
          </cell>
          <cell r="CL41" t="str">
            <v/>
          </cell>
          <cell r="CM41" t="str">
            <v/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DC41">
            <v>0</v>
          </cell>
          <cell r="DH41">
            <v>0</v>
          </cell>
          <cell r="DO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</row>
        <row r="42">
          <cell r="H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O42">
            <v>0</v>
          </cell>
          <cell r="Q42">
            <v>0</v>
          </cell>
          <cell r="S42">
            <v>0</v>
          </cell>
          <cell r="T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O42">
            <v>0</v>
          </cell>
          <cell r="AQ42">
            <v>0</v>
          </cell>
          <cell r="AS42">
            <v>0</v>
          </cell>
          <cell r="AU42">
            <v>0</v>
          </cell>
          <cell r="AW42">
            <v>0</v>
          </cell>
          <cell r="AY42">
            <v>0</v>
          </cell>
          <cell r="BA42">
            <v>0</v>
          </cell>
          <cell r="BC42">
            <v>0</v>
          </cell>
          <cell r="BE42">
            <v>0</v>
          </cell>
          <cell r="BF42">
            <v>0</v>
          </cell>
          <cell r="BG42">
            <v>0</v>
          </cell>
          <cell r="BI42">
            <v>0</v>
          </cell>
          <cell r="BJ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CC42">
            <v>0</v>
          </cell>
          <cell r="CE42">
            <v>0</v>
          </cell>
          <cell r="CG42">
            <v>0</v>
          </cell>
          <cell r="CI42">
            <v>0</v>
          </cell>
          <cell r="CJ42">
            <v>0</v>
          </cell>
          <cell r="CK42" t="str">
            <v/>
          </cell>
          <cell r="CL42" t="str">
            <v/>
          </cell>
          <cell r="CM42" t="str">
            <v/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DC42">
            <v>0</v>
          </cell>
          <cell r="DH42">
            <v>0</v>
          </cell>
          <cell r="DO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H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T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O43">
            <v>0</v>
          </cell>
          <cell r="AQ43">
            <v>0</v>
          </cell>
          <cell r="AS43">
            <v>0</v>
          </cell>
          <cell r="AU43">
            <v>0</v>
          </cell>
          <cell r="AW43">
            <v>0</v>
          </cell>
          <cell r="AY43">
            <v>0</v>
          </cell>
          <cell r="BA43">
            <v>0</v>
          </cell>
          <cell r="BC43">
            <v>0</v>
          </cell>
          <cell r="BE43">
            <v>0</v>
          </cell>
          <cell r="BF43">
            <v>0</v>
          </cell>
          <cell r="BG43">
            <v>0</v>
          </cell>
          <cell r="BI43">
            <v>0</v>
          </cell>
          <cell r="BJ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CC43">
            <v>0</v>
          </cell>
          <cell r="CE43">
            <v>0</v>
          </cell>
          <cell r="CG43">
            <v>0</v>
          </cell>
          <cell r="CI43">
            <v>0</v>
          </cell>
          <cell r="CJ43">
            <v>0</v>
          </cell>
          <cell r="CK43" t="str">
            <v/>
          </cell>
          <cell r="CL43" t="str">
            <v/>
          </cell>
          <cell r="CM43" t="str">
            <v/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DC43">
            <v>0</v>
          </cell>
          <cell r="DH43">
            <v>0</v>
          </cell>
          <cell r="DO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</row>
        <row r="44">
          <cell r="H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T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  <cell r="AK44">
            <v>0</v>
          </cell>
          <cell r="AL44">
            <v>0</v>
          </cell>
          <cell r="AM44">
            <v>0</v>
          </cell>
          <cell r="AO44">
            <v>0</v>
          </cell>
          <cell r="AQ44">
            <v>0</v>
          </cell>
          <cell r="AS44">
            <v>0</v>
          </cell>
          <cell r="AU44">
            <v>0</v>
          </cell>
          <cell r="AW44">
            <v>0</v>
          </cell>
          <cell r="AY44">
            <v>0</v>
          </cell>
          <cell r="BA44">
            <v>0</v>
          </cell>
          <cell r="BC44">
            <v>0</v>
          </cell>
          <cell r="BE44">
            <v>0</v>
          </cell>
          <cell r="BF44">
            <v>0</v>
          </cell>
          <cell r="BG44">
            <v>0</v>
          </cell>
          <cell r="BI44">
            <v>0</v>
          </cell>
          <cell r="BJ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CC44">
            <v>0</v>
          </cell>
          <cell r="CE44">
            <v>0</v>
          </cell>
          <cell r="CG44">
            <v>0</v>
          </cell>
          <cell r="CI44">
            <v>0</v>
          </cell>
          <cell r="CJ44">
            <v>0</v>
          </cell>
          <cell r="CK44" t="str">
            <v/>
          </cell>
          <cell r="CL44" t="str">
            <v/>
          </cell>
          <cell r="CM44" t="str">
            <v/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DC44">
            <v>0</v>
          </cell>
          <cell r="DH44">
            <v>0</v>
          </cell>
          <cell r="DO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</row>
        <row r="45">
          <cell r="H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O45">
            <v>0</v>
          </cell>
          <cell r="Q45">
            <v>0</v>
          </cell>
          <cell r="S45">
            <v>0</v>
          </cell>
          <cell r="T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  <cell r="AK45">
            <v>0</v>
          </cell>
          <cell r="AL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  <cell r="AU45">
            <v>0</v>
          </cell>
          <cell r="AW45">
            <v>0</v>
          </cell>
          <cell r="AY45">
            <v>0</v>
          </cell>
          <cell r="BA45">
            <v>0</v>
          </cell>
          <cell r="BC45">
            <v>0</v>
          </cell>
          <cell r="BE45">
            <v>0</v>
          </cell>
          <cell r="BF45">
            <v>0</v>
          </cell>
          <cell r="BG45">
            <v>0</v>
          </cell>
          <cell r="BI45">
            <v>0</v>
          </cell>
          <cell r="BJ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CC45">
            <v>0</v>
          </cell>
          <cell r="CE45">
            <v>0</v>
          </cell>
          <cell r="CG45">
            <v>0</v>
          </cell>
          <cell r="CI45">
            <v>0</v>
          </cell>
          <cell r="CJ45">
            <v>0</v>
          </cell>
          <cell r="CK45" t="str">
            <v/>
          </cell>
          <cell r="CL45" t="str">
            <v/>
          </cell>
          <cell r="CM45" t="str">
            <v/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DC45">
            <v>0</v>
          </cell>
          <cell r="DH45">
            <v>0</v>
          </cell>
          <cell r="DO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</row>
        <row r="46">
          <cell r="H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O46">
            <v>0</v>
          </cell>
          <cell r="Q46">
            <v>0</v>
          </cell>
          <cell r="S46">
            <v>0</v>
          </cell>
          <cell r="T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  <cell r="AK46">
            <v>0</v>
          </cell>
          <cell r="AL46">
            <v>0</v>
          </cell>
          <cell r="AM46">
            <v>0</v>
          </cell>
          <cell r="AO46">
            <v>0</v>
          </cell>
          <cell r="AQ46">
            <v>0</v>
          </cell>
          <cell r="AS46">
            <v>0</v>
          </cell>
          <cell r="AU46">
            <v>0</v>
          </cell>
          <cell r="AW46">
            <v>0</v>
          </cell>
          <cell r="AY46">
            <v>0</v>
          </cell>
          <cell r="BA46">
            <v>0</v>
          </cell>
          <cell r="BC46">
            <v>0</v>
          </cell>
          <cell r="BE46">
            <v>0</v>
          </cell>
          <cell r="BF46">
            <v>0</v>
          </cell>
          <cell r="BG46">
            <v>0</v>
          </cell>
          <cell r="BI46">
            <v>0</v>
          </cell>
          <cell r="BJ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CC46">
            <v>0</v>
          </cell>
          <cell r="CE46">
            <v>0</v>
          </cell>
          <cell r="CG46">
            <v>0</v>
          </cell>
          <cell r="CI46">
            <v>0</v>
          </cell>
          <cell r="CJ46">
            <v>0</v>
          </cell>
          <cell r="CK46" t="str">
            <v/>
          </cell>
          <cell r="CL46" t="str">
            <v/>
          </cell>
          <cell r="CM46" t="str">
            <v/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DC46">
            <v>0</v>
          </cell>
          <cell r="DH46">
            <v>0</v>
          </cell>
          <cell r="DO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H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Q47">
            <v>0</v>
          </cell>
          <cell r="S47">
            <v>0</v>
          </cell>
          <cell r="T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  <cell r="AK47">
            <v>0</v>
          </cell>
          <cell r="AL47">
            <v>0</v>
          </cell>
          <cell r="AM47">
            <v>0</v>
          </cell>
          <cell r="AO47">
            <v>0</v>
          </cell>
          <cell r="AQ47">
            <v>0</v>
          </cell>
          <cell r="AS47">
            <v>0</v>
          </cell>
          <cell r="AU47">
            <v>0</v>
          </cell>
          <cell r="AW47">
            <v>0</v>
          </cell>
          <cell r="AY47">
            <v>0</v>
          </cell>
          <cell r="BA47">
            <v>0</v>
          </cell>
          <cell r="BC47">
            <v>0</v>
          </cell>
          <cell r="BE47">
            <v>0</v>
          </cell>
          <cell r="BF47">
            <v>0</v>
          </cell>
          <cell r="BG47">
            <v>0</v>
          </cell>
          <cell r="BI47">
            <v>0</v>
          </cell>
          <cell r="BJ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CC47">
            <v>0</v>
          </cell>
          <cell r="CE47">
            <v>0</v>
          </cell>
          <cell r="CG47">
            <v>0</v>
          </cell>
          <cell r="CI47">
            <v>0</v>
          </cell>
          <cell r="CJ47">
            <v>0</v>
          </cell>
          <cell r="CK47" t="str">
            <v/>
          </cell>
          <cell r="CL47" t="str">
            <v/>
          </cell>
          <cell r="CM47" t="str">
            <v/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DC47">
            <v>0</v>
          </cell>
          <cell r="DH47">
            <v>0</v>
          </cell>
          <cell r="DO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H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T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  <cell r="AK48">
            <v>0</v>
          </cell>
          <cell r="AL48">
            <v>0</v>
          </cell>
          <cell r="AM48">
            <v>0</v>
          </cell>
          <cell r="AO48">
            <v>0</v>
          </cell>
          <cell r="AQ48">
            <v>0</v>
          </cell>
          <cell r="AS48">
            <v>0</v>
          </cell>
          <cell r="AU48">
            <v>0</v>
          </cell>
          <cell r="AW48">
            <v>0</v>
          </cell>
          <cell r="AY48">
            <v>0</v>
          </cell>
          <cell r="BA48">
            <v>0</v>
          </cell>
          <cell r="BC48">
            <v>0</v>
          </cell>
          <cell r="BE48">
            <v>0</v>
          </cell>
          <cell r="BF48">
            <v>0</v>
          </cell>
          <cell r="BG48">
            <v>0</v>
          </cell>
          <cell r="BI48">
            <v>0</v>
          </cell>
          <cell r="BJ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CC48">
            <v>0</v>
          </cell>
          <cell r="CE48">
            <v>0</v>
          </cell>
          <cell r="CG48">
            <v>0</v>
          </cell>
          <cell r="CI48">
            <v>0</v>
          </cell>
          <cell r="CJ48">
            <v>0</v>
          </cell>
          <cell r="CK48" t="str">
            <v/>
          </cell>
          <cell r="CL48" t="str">
            <v/>
          </cell>
          <cell r="CM48" t="str">
            <v/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DC48">
            <v>0</v>
          </cell>
          <cell r="DH48">
            <v>0</v>
          </cell>
          <cell r="DO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</row>
        <row r="49">
          <cell r="H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T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  <cell r="AK49">
            <v>0</v>
          </cell>
          <cell r="AL49">
            <v>0</v>
          </cell>
          <cell r="AM49">
            <v>0</v>
          </cell>
          <cell r="AO49">
            <v>0</v>
          </cell>
          <cell r="AQ49">
            <v>0</v>
          </cell>
          <cell r="AS49">
            <v>0</v>
          </cell>
          <cell r="AU49">
            <v>0</v>
          </cell>
          <cell r="AW49">
            <v>0</v>
          </cell>
          <cell r="AY49">
            <v>0</v>
          </cell>
          <cell r="BA49">
            <v>0</v>
          </cell>
          <cell r="BC49">
            <v>0</v>
          </cell>
          <cell r="BE49">
            <v>0</v>
          </cell>
          <cell r="BF49">
            <v>0</v>
          </cell>
          <cell r="BG49">
            <v>0</v>
          </cell>
          <cell r="BI49">
            <v>0</v>
          </cell>
          <cell r="BJ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CC49">
            <v>0</v>
          </cell>
          <cell r="CE49">
            <v>0</v>
          </cell>
          <cell r="CG49">
            <v>0</v>
          </cell>
          <cell r="CI49">
            <v>0</v>
          </cell>
          <cell r="CJ49">
            <v>0</v>
          </cell>
          <cell r="CK49" t="str">
            <v/>
          </cell>
          <cell r="CL49" t="str">
            <v/>
          </cell>
          <cell r="CM49" t="str">
            <v/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DC49">
            <v>0</v>
          </cell>
          <cell r="DH49">
            <v>0</v>
          </cell>
          <cell r="DO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H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O50">
            <v>0</v>
          </cell>
          <cell r="Q50">
            <v>0</v>
          </cell>
          <cell r="S50">
            <v>0</v>
          </cell>
          <cell r="T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  <cell r="AK50">
            <v>0</v>
          </cell>
          <cell r="AL50">
            <v>0</v>
          </cell>
          <cell r="AM50">
            <v>0</v>
          </cell>
          <cell r="AO50">
            <v>0</v>
          </cell>
          <cell r="AQ50">
            <v>0</v>
          </cell>
          <cell r="AS50">
            <v>0</v>
          </cell>
          <cell r="AU50">
            <v>0</v>
          </cell>
          <cell r="AW50">
            <v>0</v>
          </cell>
          <cell r="AY50">
            <v>0</v>
          </cell>
          <cell r="BA50">
            <v>0</v>
          </cell>
          <cell r="BC50">
            <v>0</v>
          </cell>
          <cell r="BE50">
            <v>0</v>
          </cell>
          <cell r="BF50">
            <v>0</v>
          </cell>
          <cell r="BG50">
            <v>0</v>
          </cell>
          <cell r="BI50">
            <v>0</v>
          </cell>
          <cell r="BJ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CC50">
            <v>0</v>
          </cell>
          <cell r="CE50">
            <v>0</v>
          </cell>
          <cell r="CG50">
            <v>0</v>
          </cell>
          <cell r="CI50">
            <v>0</v>
          </cell>
          <cell r="CJ50">
            <v>0</v>
          </cell>
          <cell r="CK50" t="str">
            <v/>
          </cell>
          <cell r="CL50" t="str">
            <v/>
          </cell>
          <cell r="CM50" t="str">
            <v/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DC50">
            <v>0</v>
          </cell>
          <cell r="DH50">
            <v>0</v>
          </cell>
          <cell r="DO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H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O51">
            <v>0</v>
          </cell>
          <cell r="Q51">
            <v>0</v>
          </cell>
          <cell r="S51">
            <v>0</v>
          </cell>
          <cell r="T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L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0</v>
          </cell>
          <cell r="AU51">
            <v>0</v>
          </cell>
          <cell r="AW51">
            <v>0</v>
          </cell>
          <cell r="AY51">
            <v>0</v>
          </cell>
          <cell r="BA51">
            <v>0</v>
          </cell>
          <cell r="BC51">
            <v>0</v>
          </cell>
          <cell r="BE51">
            <v>0</v>
          </cell>
          <cell r="BF51">
            <v>0</v>
          </cell>
          <cell r="BG51">
            <v>0</v>
          </cell>
          <cell r="BI51">
            <v>0</v>
          </cell>
          <cell r="BJ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CC51">
            <v>0</v>
          </cell>
          <cell r="CE51">
            <v>0</v>
          </cell>
          <cell r="CG51">
            <v>0</v>
          </cell>
          <cell r="CI51">
            <v>0</v>
          </cell>
          <cell r="CJ51">
            <v>0</v>
          </cell>
          <cell r="CK51" t="str">
            <v/>
          </cell>
          <cell r="CL51" t="str">
            <v/>
          </cell>
          <cell r="CM51" t="str">
            <v/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DC51">
            <v>0</v>
          </cell>
          <cell r="DH51">
            <v>0</v>
          </cell>
          <cell r="DO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</row>
        <row r="52">
          <cell r="H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O52">
            <v>0</v>
          </cell>
          <cell r="Q52">
            <v>0</v>
          </cell>
          <cell r="S52">
            <v>0</v>
          </cell>
          <cell r="T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  <cell r="AL52">
            <v>0</v>
          </cell>
          <cell r="AM52">
            <v>0</v>
          </cell>
          <cell r="AO52">
            <v>0</v>
          </cell>
          <cell r="AQ52">
            <v>0</v>
          </cell>
          <cell r="AS52">
            <v>0</v>
          </cell>
          <cell r="AU52">
            <v>0</v>
          </cell>
          <cell r="AW52">
            <v>0</v>
          </cell>
          <cell r="AY52">
            <v>0</v>
          </cell>
          <cell r="BA52">
            <v>0</v>
          </cell>
          <cell r="BC52">
            <v>0</v>
          </cell>
          <cell r="BE52">
            <v>0</v>
          </cell>
          <cell r="BF52">
            <v>0</v>
          </cell>
          <cell r="BG52">
            <v>0</v>
          </cell>
          <cell r="BI52">
            <v>0</v>
          </cell>
          <cell r="BJ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CC52">
            <v>0</v>
          </cell>
          <cell r="CE52">
            <v>0</v>
          </cell>
          <cell r="CG52">
            <v>0</v>
          </cell>
          <cell r="CI52">
            <v>0</v>
          </cell>
          <cell r="CJ52">
            <v>0</v>
          </cell>
          <cell r="CK52" t="str">
            <v/>
          </cell>
          <cell r="CL52" t="str">
            <v/>
          </cell>
          <cell r="CM52" t="str">
            <v/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DC52">
            <v>0</v>
          </cell>
          <cell r="DH52">
            <v>0</v>
          </cell>
          <cell r="DO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</row>
        <row r="53">
          <cell r="H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O53">
            <v>0</v>
          </cell>
          <cell r="Q53">
            <v>0</v>
          </cell>
          <cell r="S53">
            <v>0</v>
          </cell>
          <cell r="T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L53">
            <v>0</v>
          </cell>
          <cell r="AM53">
            <v>0</v>
          </cell>
          <cell r="AO53">
            <v>0</v>
          </cell>
          <cell r="AQ53">
            <v>0</v>
          </cell>
          <cell r="AS53">
            <v>0</v>
          </cell>
          <cell r="AU53">
            <v>0</v>
          </cell>
          <cell r="AW53">
            <v>0</v>
          </cell>
          <cell r="AY53">
            <v>0</v>
          </cell>
          <cell r="BA53">
            <v>0</v>
          </cell>
          <cell r="BC53">
            <v>0</v>
          </cell>
          <cell r="BE53">
            <v>0</v>
          </cell>
          <cell r="BF53">
            <v>0</v>
          </cell>
          <cell r="BG53">
            <v>0</v>
          </cell>
          <cell r="BI53">
            <v>0</v>
          </cell>
          <cell r="BJ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CC53">
            <v>0</v>
          </cell>
          <cell r="CE53">
            <v>0</v>
          </cell>
          <cell r="CG53">
            <v>0</v>
          </cell>
          <cell r="CI53">
            <v>0</v>
          </cell>
          <cell r="CJ53">
            <v>0</v>
          </cell>
          <cell r="CK53" t="str">
            <v/>
          </cell>
          <cell r="CL53" t="str">
            <v/>
          </cell>
          <cell r="CM53" t="str">
            <v/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DC53">
            <v>0</v>
          </cell>
          <cell r="DH53">
            <v>0</v>
          </cell>
          <cell r="DO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T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0</v>
          </cell>
          <cell r="AL54">
            <v>0</v>
          </cell>
          <cell r="AM54">
            <v>0</v>
          </cell>
          <cell r="AO54">
            <v>0</v>
          </cell>
          <cell r="AQ54">
            <v>0</v>
          </cell>
          <cell r="AS54">
            <v>0</v>
          </cell>
          <cell r="AU54">
            <v>0</v>
          </cell>
          <cell r="AW54">
            <v>0</v>
          </cell>
          <cell r="AY54">
            <v>0</v>
          </cell>
          <cell r="BA54">
            <v>0</v>
          </cell>
          <cell r="BC54">
            <v>0</v>
          </cell>
          <cell r="BE54">
            <v>0</v>
          </cell>
          <cell r="BF54">
            <v>0</v>
          </cell>
          <cell r="BG54">
            <v>0</v>
          </cell>
          <cell r="BI54">
            <v>0</v>
          </cell>
          <cell r="BJ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CC54">
            <v>0</v>
          </cell>
          <cell r="CE54">
            <v>0</v>
          </cell>
          <cell r="CG54">
            <v>0</v>
          </cell>
          <cell r="CI54">
            <v>0</v>
          </cell>
          <cell r="CJ54">
            <v>0</v>
          </cell>
          <cell r="CK54" t="str">
            <v/>
          </cell>
          <cell r="CL54" t="str">
            <v/>
          </cell>
          <cell r="CM54" t="str">
            <v/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DC54">
            <v>0</v>
          </cell>
          <cell r="DH54">
            <v>0</v>
          </cell>
          <cell r="DO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</row>
        <row r="55">
          <cell r="H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O55">
            <v>0</v>
          </cell>
          <cell r="Q55">
            <v>0</v>
          </cell>
          <cell r="S55">
            <v>0</v>
          </cell>
          <cell r="T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  <cell r="AK55">
            <v>0</v>
          </cell>
          <cell r="AL55">
            <v>0</v>
          </cell>
          <cell r="AM55">
            <v>0</v>
          </cell>
          <cell r="AO55">
            <v>0</v>
          </cell>
          <cell r="AQ55">
            <v>0</v>
          </cell>
          <cell r="AS55">
            <v>0</v>
          </cell>
          <cell r="AU55">
            <v>0</v>
          </cell>
          <cell r="AW55">
            <v>0</v>
          </cell>
          <cell r="AY55">
            <v>0</v>
          </cell>
          <cell r="BA55">
            <v>0</v>
          </cell>
          <cell r="BC55">
            <v>0</v>
          </cell>
          <cell r="BE55">
            <v>0</v>
          </cell>
          <cell r="BF55">
            <v>0</v>
          </cell>
          <cell r="BG55">
            <v>0</v>
          </cell>
          <cell r="BI55">
            <v>0</v>
          </cell>
          <cell r="BJ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CC55">
            <v>0</v>
          </cell>
          <cell r="CE55">
            <v>0</v>
          </cell>
          <cell r="CG55">
            <v>0</v>
          </cell>
          <cell r="CI55">
            <v>0</v>
          </cell>
          <cell r="CJ55">
            <v>0</v>
          </cell>
          <cell r="CK55" t="str">
            <v/>
          </cell>
          <cell r="CL55" t="str">
            <v/>
          </cell>
          <cell r="CM55" t="str">
            <v/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DC55">
            <v>0</v>
          </cell>
          <cell r="DH55">
            <v>0</v>
          </cell>
          <cell r="DO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</row>
        <row r="56">
          <cell r="H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T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  <cell r="AK56">
            <v>0</v>
          </cell>
          <cell r="AL56">
            <v>0</v>
          </cell>
          <cell r="AM56">
            <v>0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W56">
            <v>0</v>
          </cell>
          <cell r="AY56">
            <v>0</v>
          </cell>
          <cell r="BA56">
            <v>0</v>
          </cell>
          <cell r="BC56">
            <v>0</v>
          </cell>
          <cell r="BE56">
            <v>0</v>
          </cell>
          <cell r="BF56">
            <v>0</v>
          </cell>
          <cell r="BG56">
            <v>0</v>
          </cell>
          <cell r="BI56">
            <v>0</v>
          </cell>
          <cell r="BJ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CC56">
            <v>0</v>
          </cell>
          <cell r="CE56">
            <v>0</v>
          </cell>
          <cell r="CG56">
            <v>0</v>
          </cell>
          <cell r="CI56">
            <v>0</v>
          </cell>
          <cell r="CJ56">
            <v>0</v>
          </cell>
          <cell r="CK56" t="str">
            <v/>
          </cell>
          <cell r="CL56" t="str">
            <v/>
          </cell>
          <cell r="CM56" t="str">
            <v/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DC56">
            <v>0</v>
          </cell>
          <cell r="DH56">
            <v>0</v>
          </cell>
          <cell r="DO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</row>
        <row r="57">
          <cell r="H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T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  <cell r="AK57">
            <v>0</v>
          </cell>
          <cell r="AL57">
            <v>0</v>
          </cell>
          <cell r="AM57">
            <v>0</v>
          </cell>
          <cell r="AO57">
            <v>0</v>
          </cell>
          <cell r="AQ57">
            <v>0</v>
          </cell>
          <cell r="AS57">
            <v>0</v>
          </cell>
          <cell r="AU57">
            <v>0</v>
          </cell>
          <cell r="AW57">
            <v>0</v>
          </cell>
          <cell r="AY57">
            <v>0</v>
          </cell>
          <cell r="BA57">
            <v>0</v>
          </cell>
          <cell r="BC57">
            <v>0</v>
          </cell>
          <cell r="BE57">
            <v>0</v>
          </cell>
          <cell r="BF57">
            <v>0</v>
          </cell>
          <cell r="BG57">
            <v>0</v>
          </cell>
          <cell r="BI57">
            <v>0</v>
          </cell>
          <cell r="BJ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CC57">
            <v>0</v>
          </cell>
          <cell r="CE57">
            <v>0</v>
          </cell>
          <cell r="CG57">
            <v>0</v>
          </cell>
          <cell r="CI57">
            <v>0</v>
          </cell>
          <cell r="CJ57">
            <v>0</v>
          </cell>
          <cell r="CK57" t="str">
            <v/>
          </cell>
          <cell r="CL57" t="str">
            <v/>
          </cell>
          <cell r="CM57" t="str">
            <v/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DC57">
            <v>0</v>
          </cell>
          <cell r="DH57">
            <v>0</v>
          </cell>
          <cell r="DO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</row>
        <row r="58">
          <cell r="H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T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  <cell r="AK58">
            <v>0</v>
          </cell>
          <cell r="AL58">
            <v>0</v>
          </cell>
          <cell r="AM58">
            <v>0</v>
          </cell>
          <cell r="AO58">
            <v>0</v>
          </cell>
          <cell r="AQ58">
            <v>0</v>
          </cell>
          <cell r="AS58">
            <v>0</v>
          </cell>
          <cell r="AU58">
            <v>0</v>
          </cell>
          <cell r="AW58">
            <v>0</v>
          </cell>
          <cell r="AY58">
            <v>0</v>
          </cell>
          <cell r="BA58">
            <v>0</v>
          </cell>
          <cell r="BC58">
            <v>0</v>
          </cell>
          <cell r="BE58">
            <v>0</v>
          </cell>
          <cell r="BF58">
            <v>0</v>
          </cell>
          <cell r="BG58">
            <v>0</v>
          </cell>
          <cell r="BI58">
            <v>0</v>
          </cell>
          <cell r="BJ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CC58">
            <v>0</v>
          </cell>
          <cell r="CE58">
            <v>0</v>
          </cell>
          <cell r="CG58">
            <v>0</v>
          </cell>
          <cell r="CI58">
            <v>0</v>
          </cell>
          <cell r="CJ58">
            <v>0</v>
          </cell>
          <cell r="CK58" t="str">
            <v/>
          </cell>
          <cell r="CL58" t="str">
            <v/>
          </cell>
          <cell r="CM58" t="str">
            <v/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DC58">
            <v>0</v>
          </cell>
          <cell r="DH58">
            <v>0</v>
          </cell>
          <cell r="DO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</row>
        <row r="59">
          <cell r="H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O59">
            <v>0</v>
          </cell>
          <cell r="Q59">
            <v>0</v>
          </cell>
          <cell r="S59">
            <v>0</v>
          </cell>
          <cell r="T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L59">
            <v>0</v>
          </cell>
          <cell r="AM59">
            <v>0</v>
          </cell>
          <cell r="AO59">
            <v>0</v>
          </cell>
          <cell r="AQ59">
            <v>0</v>
          </cell>
          <cell r="AS59">
            <v>0</v>
          </cell>
          <cell r="AU59">
            <v>0</v>
          </cell>
          <cell r="AW59">
            <v>0</v>
          </cell>
          <cell r="AY59">
            <v>0</v>
          </cell>
          <cell r="BA59">
            <v>0</v>
          </cell>
          <cell r="BC59">
            <v>0</v>
          </cell>
          <cell r="BE59">
            <v>0</v>
          </cell>
          <cell r="BF59">
            <v>0</v>
          </cell>
          <cell r="BG59">
            <v>0</v>
          </cell>
          <cell r="BI59">
            <v>0</v>
          </cell>
          <cell r="BJ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CC59">
            <v>0</v>
          </cell>
          <cell r="CE59">
            <v>0</v>
          </cell>
          <cell r="CG59">
            <v>0</v>
          </cell>
          <cell r="CI59">
            <v>0</v>
          </cell>
          <cell r="CJ59">
            <v>0</v>
          </cell>
          <cell r="CK59" t="str">
            <v/>
          </cell>
          <cell r="CL59" t="str">
            <v/>
          </cell>
          <cell r="CM59" t="str">
            <v/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DC59">
            <v>0</v>
          </cell>
          <cell r="DH59">
            <v>0</v>
          </cell>
          <cell r="DO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</row>
        <row r="60">
          <cell r="H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T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  <cell r="AK60">
            <v>0</v>
          </cell>
          <cell r="AL60">
            <v>0</v>
          </cell>
          <cell r="AM60">
            <v>0</v>
          </cell>
          <cell r="AO60">
            <v>0</v>
          </cell>
          <cell r="AQ60">
            <v>0</v>
          </cell>
          <cell r="AS60">
            <v>0</v>
          </cell>
          <cell r="AU60">
            <v>0</v>
          </cell>
          <cell r="AW60">
            <v>0</v>
          </cell>
          <cell r="AY60">
            <v>0</v>
          </cell>
          <cell r="BA60">
            <v>0</v>
          </cell>
          <cell r="BC60">
            <v>0</v>
          </cell>
          <cell r="BE60">
            <v>0</v>
          </cell>
          <cell r="BF60">
            <v>0</v>
          </cell>
          <cell r="BG60">
            <v>0</v>
          </cell>
          <cell r="BI60">
            <v>0</v>
          </cell>
          <cell r="BJ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CC60">
            <v>0</v>
          </cell>
          <cell r="CE60">
            <v>0</v>
          </cell>
          <cell r="CG60">
            <v>0</v>
          </cell>
          <cell r="CI60">
            <v>0</v>
          </cell>
          <cell r="CJ60">
            <v>0</v>
          </cell>
          <cell r="CK60" t="str">
            <v/>
          </cell>
          <cell r="CL60" t="str">
            <v/>
          </cell>
          <cell r="CM60" t="str">
            <v/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DC60">
            <v>0</v>
          </cell>
          <cell r="DH60">
            <v>0</v>
          </cell>
          <cell r="DO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</row>
        <row r="61">
          <cell r="H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O61">
            <v>0</v>
          </cell>
          <cell r="Q61">
            <v>0</v>
          </cell>
          <cell r="S61">
            <v>0</v>
          </cell>
          <cell r="T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  <cell r="AK61">
            <v>0</v>
          </cell>
          <cell r="AL61">
            <v>0</v>
          </cell>
          <cell r="AM61">
            <v>0</v>
          </cell>
          <cell r="AO61">
            <v>0</v>
          </cell>
          <cell r="AQ61">
            <v>0</v>
          </cell>
          <cell r="AS61">
            <v>0</v>
          </cell>
          <cell r="AU61">
            <v>0</v>
          </cell>
          <cell r="AW61">
            <v>0</v>
          </cell>
          <cell r="AY61">
            <v>0</v>
          </cell>
          <cell r="BA61">
            <v>0</v>
          </cell>
          <cell r="BC61">
            <v>0</v>
          </cell>
          <cell r="BE61">
            <v>0</v>
          </cell>
          <cell r="BF61">
            <v>0</v>
          </cell>
          <cell r="BG61">
            <v>0</v>
          </cell>
          <cell r="BI61">
            <v>0</v>
          </cell>
          <cell r="BJ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CC61">
            <v>0</v>
          </cell>
          <cell r="CE61">
            <v>0</v>
          </cell>
          <cell r="CG61">
            <v>0</v>
          </cell>
          <cell r="CI61">
            <v>0</v>
          </cell>
          <cell r="CJ61">
            <v>0</v>
          </cell>
          <cell r="CK61" t="str">
            <v/>
          </cell>
          <cell r="CL61" t="str">
            <v/>
          </cell>
          <cell r="CM61" t="str">
            <v/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DC61">
            <v>0</v>
          </cell>
          <cell r="DH61">
            <v>0</v>
          </cell>
          <cell r="DO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</row>
        <row r="62">
          <cell r="H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T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O62">
            <v>0</v>
          </cell>
          <cell r="AQ62">
            <v>0</v>
          </cell>
          <cell r="AS62">
            <v>0</v>
          </cell>
          <cell r="AU62">
            <v>0</v>
          </cell>
          <cell r="AW62">
            <v>0</v>
          </cell>
          <cell r="AY62">
            <v>0</v>
          </cell>
          <cell r="BA62">
            <v>0</v>
          </cell>
          <cell r="BC62">
            <v>0</v>
          </cell>
          <cell r="BE62">
            <v>0</v>
          </cell>
          <cell r="BF62">
            <v>0</v>
          </cell>
          <cell r="BG62">
            <v>0</v>
          </cell>
          <cell r="BI62">
            <v>0</v>
          </cell>
          <cell r="BJ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CC62">
            <v>0</v>
          </cell>
          <cell r="CE62">
            <v>0</v>
          </cell>
          <cell r="CG62">
            <v>0</v>
          </cell>
          <cell r="CI62">
            <v>0</v>
          </cell>
          <cell r="CJ62">
            <v>0</v>
          </cell>
          <cell r="CK62" t="str">
            <v/>
          </cell>
          <cell r="CL62" t="str">
            <v/>
          </cell>
          <cell r="CM62" t="str">
            <v/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DC62">
            <v>0</v>
          </cell>
          <cell r="DH62">
            <v>0</v>
          </cell>
          <cell r="DO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</row>
        <row r="63">
          <cell r="H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O63">
            <v>0</v>
          </cell>
          <cell r="Q63">
            <v>0</v>
          </cell>
          <cell r="S63">
            <v>0</v>
          </cell>
          <cell r="T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  <cell r="AK63">
            <v>0</v>
          </cell>
          <cell r="AL63">
            <v>0</v>
          </cell>
          <cell r="AM63">
            <v>0</v>
          </cell>
          <cell r="AO63">
            <v>0</v>
          </cell>
          <cell r="AQ63">
            <v>0</v>
          </cell>
          <cell r="AS63">
            <v>0</v>
          </cell>
          <cell r="AU63">
            <v>0</v>
          </cell>
          <cell r="AW63">
            <v>0</v>
          </cell>
          <cell r="AY63">
            <v>0</v>
          </cell>
          <cell r="BA63">
            <v>0</v>
          </cell>
          <cell r="BC63">
            <v>0</v>
          </cell>
          <cell r="BE63">
            <v>0</v>
          </cell>
          <cell r="BF63">
            <v>0</v>
          </cell>
          <cell r="BG63">
            <v>0</v>
          </cell>
          <cell r="BI63">
            <v>0</v>
          </cell>
          <cell r="BJ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CC63">
            <v>0</v>
          </cell>
          <cell r="CE63">
            <v>0</v>
          </cell>
          <cell r="CG63">
            <v>0</v>
          </cell>
          <cell r="CI63">
            <v>0</v>
          </cell>
          <cell r="CJ63">
            <v>0</v>
          </cell>
          <cell r="CK63" t="str">
            <v/>
          </cell>
          <cell r="CL63" t="str">
            <v/>
          </cell>
          <cell r="CM63" t="str">
            <v/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DC63">
            <v>0</v>
          </cell>
          <cell r="DH63">
            <v>0</v>
          </cell>
          <cell r="DO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</row>
        <row r="64">
          <cell r="H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O64">
            <v>0</v>
          </cell>
          <cell r="Q64">
            <v>0</v>
          </cell>
          <cell r="S64">
            <v>0</v>
          </cell>
          <cell r="T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  <cell r="AK64">
            <v>0</v>
          </cell>
          <cell r="AL64">
            <v>0</v>
          </cell>
          <cell r="AM64">
            <v>0</v>
          </cell>
          <cell r="AO64">
            <v>0</v>
          </cell>
          <cell r="AQ64">
            <v>0</v>
          </cell>
          <cell r="AS64">
            <v>0</v>
          </cell>
          <cell r="AU64">
            <v>0</v>
          </cell>
          <cell r="AW64">
            <v>0</v>
          </cell>
          <cell r="AY64">
            <v>0</v>
          </cell>
          <cell r="BA64">
            <v>0</v>
          </cell>
          <cell r="BC64">
            <v>0</v>
          </cell>
          <cell r="BE64">
            <v>0</v>
          </cell>
          <cell r="BF64">
            <v>0</v>
          </cell>
          <cell r="BG64">
            <v>0</v>
          </cell>
          <cell r="BI64">
            <v>0</v>
          </cell>
          <cell r="BJ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CC64">
            <v>0</v>
          </cell>
          <cell r="CE64">
            <v>0</v>
          </cell>
          <cell r="CG64">
            <v>0</v>
          </cell>
          <cell r="CI64">
            <v>0</v>
          </cell>
          <cell r="CJ64">
            <v>0</v>
          </cell>
          <cell r="CK64" t="str">
            <v/>
          </cell>
          <cell r="CL64" t="str">
            <v/>
          </cell>
          <cell r="CM64" t="str">
            <v/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DC64">
            <v>0</v>
          </cell>
          <cell r="DH64">
            <v>0</v>
          </cell>
          <cell r="DO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</row>
        <row r="65">
          <cell r="H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T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  <cell r="AK65">
            <v>0</v>
          </cell>
          <cell r="AL65">
            <v>0</v>
          </cell>
          <cell r="AM65">
            <v>0</v>
          </cell>
          <cell r="AO65">
            <v>0</v>
          </cell>
          <cell r="AQ65">
            <v>0</v>
          </cell>
          <cell r="AS65">
            <v>0</v>
          </cell>
          <cell r="AU65">
            <v>0</v>
          </cell>
          <cell r="AW65">
            <v>0</v>
          </cell>
          <cell r="AY65">
            <v>0</v>
          </cell>
          <cell r="BA65">
            <v>0</v>
          </cell>
          <cell r="BC65">
            <v>0</v>
          </cell>
          <cell r="BE65">
            <v>0</v>
          </cell>
          <cell r="BF65">
            <v>0</v>
          </cell>
          <cell r="BG65">
            <v>0</v>
          </cell>
          <cell r="BI65">
            <v>0</v>
          </cell>
          <cell r="BJ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CC65">
            <v>0</v>
          </cell>
          <cell r="CE65">
            <v>0</v>
          </cell>
          <cell r="CG65">
            <v>0</v>
          </cell>
          <cell r="CI65">
            <v>0</v>
          </cell>
          <cell r="CJ65">
            <v>0</v>
          </cell>
          <cell r="CK65" t="str">
            <v/>
          </cell>
          <cell r="CL65" t="str">
            <v/>
          </cell>
          <cell r="CM65" t="str">
            <v/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DC65">
            <v>0</v>
          </cell>
          <cell r="DH65">
            <v>0</v>
          </cell>
          <cell r="DO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</row>
        <row r="66">
          <cell r="H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O66">
            <v>0</v>
          </cell>
          <cell r="Q66">
            <v>0</v>
          </cell>
          <cell r="S66">
            <v>0</v>
          </cell>
          <cell r="T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  <cell r="AK66">
            <v>0</v>
          </cell>
          <cell r="AL66">
            <v>0</v>
          </cell>
          <cell r="AM66">
            <v>0</v>
          </cell>
          <cell r="AO66">
            <v>0</v>
          </cell>
          <cell r="AQ66">
            <v>0</v>
          </cell>
          <cell r="AS66">
            <v>0</v>
          </cell>
          <cell r="AU66">
            <v>0</v>
          </cell>
          <cell r="AW66">
            <v>0</v>
          </cell>
          <cell r="AY66">
            <v>0</v>
          </cell>
          <cell r="BA66">
            <v>0</v>
          </cell>
          <cell r="BC66">
            <v>0</v>
          </cell>
          <cell r="BE66">
            <v>0</v>
          </cell>
          <cell r="BF66">
            <v>0</v>
          </cell>
          <cell r="BG66">
            <v>0</v>
          </cell>
          <cell r="BI66">
            <v>0</v>
          </cell>
          <cell r="BJ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CC66">
            <v>0</v>
          </cell>
          <cell r="CE66">
            <v>0</v>
          </cell>
          <cell r="CG66">
            <v>0</v>
          </cell>
          <cell r="CI66">
            <v>0</v>
          </cell>
          <cell r="CJ66">
            <v>0</v>
          </cell>
          <cell r="CK66" t="str">
            <v/>
          </cell>
          <cell r="CL66" t="str">
            <v/>
          </cell>
          <cell r="CM66" t="str">
            <v/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DC66">
            <v>0</v>
          </cell>
          <cell r="DH66">
            <v>0</v>
          </cell>
          <cell r="DO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H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O67">
            <v>0</v>
          </cell>
          <cell r="Q67">
            <v>0</v>
          </cell>
          <cell r="S67">
            <v>0</v>
          </cell>
          <cell r="T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  <cell r="AK67">
            <v>0</v>
          </cell>
          <cell r="AL67">
            <v>0</v>
          </cell>
          <cell r="AM67">
            <v>0</v>
          </cell>
          <cell r="AO67">
            <v>0</v>
          </cell>
          <cell r="AQ67">
            <v>0</v>
          </cell>
          <cell r="AS67">
            <v>0</v>
          </cell>
          <cell r="AU67">
            <v>0</v>
          </cell>
          <cell r="AW67">
            <v>0</v>
          </cell>
          <cell r="AY67">
            <v>0</v>
          </cell>
          <cell r="BA67">
            <v>0</v>
          </cell>
          <cell r="BC67">
            <v>0</v>
          </cell>
          <cell r="BE67">
            <v>0</v>
          </cell>
          <cell r="BF67">
            <v>0</v>
          </cell>
          <cell r="BG67">
            <v>0</v>
          </cell>
          <cell r="BI67">
            <v>0</v>
          </cell>
          <cell r="BJ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CC67">
            <v>0</v>
          </cell>
          <cell r="CE67">
            <v>0</v>
          </cell>
          <cell r="CG67">
            <v>0</v>
          </cell>
          <cell r="CI67">
            <v>0</v>
          </cell>
          <cell r="CJ67">
            <v>0</v>
          </cell>
          <cell r="CK67" t="str">
            <v/>
          </cell>
          <cell r="CL67" t="str">
            <v/>
          </cell>
          <cell r="CM67" t="str">
            <v/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DC67">
            <v>0</v>
          </cell>
          <cell r="DH67">
            <v>0</v>
          </cell>
          <cell r="DO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</row>
        <row r="68">
          <cell r="H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T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  <cell r="AK68">
            <v>0</v>
          </cell>
          <cell r="AL68">
            <v>0</v>
          </cell>
          <cell r="AM68">
            <v>0</v>
          </cell>
          <cell r="AO68">
            <v>0</v>
          </cell>
          <cell r="AQ68">
            <v>0</v>
          </cell>
          <cell r="AS68">
            <v>0</v>
          </cell>
          <cell r="AU68">
            <v>0</v>
          </cell>
          <cell r="AW68">
            <v>0</v>
          </cell>
          <cell r="AY68">
            <v>0</v>
          </cell>
          <cell r="BA68">
            <v>0</v>
          </cell>
          <cell r="BC68">
            <v>0</v>
          </cell>
          <cell r="BE68">
            <v>0</v>
          </cell>
          <cell r="BF68">
            <v>0</v>
          </cell>
          <cell r="BG68">
            <v>0</v>
          </cell>
          <cell r="BI68">
            <v>0</v>
          </cell>
          <cell r="BJ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CC68">
            <v>0</v>
          </cell>
          <cell r="CE68">
            <v>0</v>
          </cell>
          <cell r="CG68">
            <v>0</v>
          </cell>
          <cell r="CI68">
            <v>0</v>
          </cell>
          <cell r="CJ68">
            <v>0</v>
          </cell>
          <cell r="CK68" t="str">
            <v/>
          </cell>
          <cell r="CL68" t="str">
            <v/>
          </cell>
          <cell r="CM68" t="str">
            <v/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DC68">
            <v>0</v>
          </cell>
          <cell r="DH68">
            <v>0</v>
          </cell>
          <cell r="DO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ncys" refreshedDate="45014.598871064816" createdVersion="6" refreshedVersion="5" minRefreshableVersion="3" recordCount="15">
  <cacheSource type="worksheet">
    <worksheetSource ref="A2:I17" sheet="Journal"/>
  </cacheSource>
  <cacheFields count="9">
    <cacheField name="Name of Employees" numFmtId="0">
      <sharedItems/>
    </cacheField>
    <cacheField name="Class" numFmtId="0">
      <sharedItems count="1">
        <s v="Logistics"/>
      </sharedItems>
    </cacheField>
    <cacheField name="Position" numFmtId="0">
      <sharedItems/>
    </cacheField>
    <cacheField name="Account" numFmtId="0">
      <sharedItems count="1">
        <s v="GA-S&amp;W"/>
      </sharedItems>
    </cacheField>
    <cacheField name="GP" numFmtId="43">
      <sharedItems containsSemiMixedTypes="0" containsString="0" containsNumber="1" minValue="5384.6153846153848" maxValue="9140.625"/>
    </cacheField>
    <cacheField name="EE" numFmtId="43">
      <sharedItems containsSemiMixedTypes="0" containsString="0" containsNumber="1" minValue="847.86" maxValue="1107.5"/>
    </cacheField>
    <cacheField name="ER" numFmtId="43">
      <sharedItems containsSemiMixedTypes="0" containsString="0" containsNumber="1" minValue="1432.8600000000001" maxValue="1892.5"/>
    </cacheField>
    <cacheField name="Charges" numFmtId="43">
      <sharedItems containsSemiMixedTypes="0" containsString="0" containsNumber="1" minValue="0" maxValue="1049"/>
    </cacheField>
    <cacheField name="13th mo" numFmtId="43">
      <sharedItems containsSemiMixedTypes="0" containsString="0" containsNumber="1" minValue="332.25" maxValue="645.833333333333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s v="Villabito, Jestony G"/>
    <x v="0"/>
    <s v="In-charge"/>
    <x v="0"/>
    <n v="7278.1984615384599"/>
    <n v="1075"/>
    <n v="1835"/>
    <n v="1049"/>
    <n v="574.91987179487182"/>
  </r>
  <r>
    <s v="Garceniego, Mailyn"/>
    <x v="0"/>
    <s v="Logistics Assistant"/>
    <x v="0"/>
    <n v="6000"/>
    <n v="880"/>
    <n v="1490"/>
    <n v="0"/>
    <n v="500"/>
  </r>
  <r>
    <s v="Sulutan , Julius Sr."/>
    <x v="0"/>
    <s v="Driver"/>
    <x v="0"/>
    <n v="7750"/>
    <n v="1107.5"/>
    <n v="1892.5"/>
    <n v="0"/>
    <n v="645.83333333333337"/>
  </r>
  <r>
    <s v="Cabamongan, Rowel"/>
    <x v="0"/>
    <s v="Driver"/>
    <x v="0"/>
    <n v="7750"/>
    <n v="1107.5"/>
    <n v="1892.5"/>
    <n v="772.3"/>
    <n v="645.83333333333337"/>
  </r>
  <r>
    <s v="Sakay, Mark Ryan"/>
    <x v="0"/>
    <s v="Delivery Helper"/>
    <x v="0"/>
    <n v="5384.6153846153848"/>
    <n v="1010"/>
    <n v="1720"/>
    <n v="0"/>
    <n v="448.71794871794873"/>
  </r>
  <r>
    <s v="Labadan, Tedi Louie"/>
    <x v="0"/>
    <s v="Driver"/>
    <x v="0"/>
    <n v="7750"/>
    <n v="1107.5"/>
    <n v="1892.5"/>
    <n v="0"/>
    <n v="645.83333333333337"/>
  </r>
  <r>
    <s v="Valmoria, Julius"/>
    <x v="0"/>
    <s v="Delivery Helper"/>
    <x v="0"/>
    <n v="6439.1025641025644"/>
    <n v="1010"/>
    <n v="1720"/>
    <n v="0"/>
    <n v="536.59188034188037"/>
  </r>
  <r>
    <s v="Ebojo, Joreme"/>
    <x v="0"/>
    <s v="Delivery Helper"/>
    <x v="0"/>
    <n v="7000"/>
    <n v="1010"/>
    <n v="1720"/>
    <n v="310"/>
    <n v="583.33333333333337"/>
  </r>
  <r>
    <s v="Lagasan, Rosman"/>
    <x v="0"/>
    <s v="Driver"/>
    <x v="0"/>
    <n v="9140.625"/>
    <n v="945"/>
    <n v="1605"/>
    <n v="322"/>
    <n v="458.33333333333331"/>
  </r>
  <r>
    <s v="Austria, Michael"/>
    <x v="0"/>
    <s v="Driver"/>
    <x v="0"/>
    <n v="8443.75"/>
    <n v="945"/>
    <n v="1605"/>
    <n v="410.32"/>
    <n v="468.75"/>
  </r>
  <r>
    <s v="Tangcay, Erwin"/>
    <x v="0"/>
    <s v="Driver"/>
    <x v="0"/>
    <n v="7242.1875"/>
    <n v="945"/>
    <n v="1605"/>
    <n v="0"/>
    <n v="541.66666666666663"/>
  </r>
  <r>
    <s v="Seclon, Kyl Reynald"/>
    <x v="0"/>
    <s v="Delivery Helper"/>
    <x v="0"/>
    <n v="6761.2875000000004"/>
    <n v="847.86"/>
    <n v="1432.8600000000001"/>
    <n v="488"/>
    <n v="479.91666666666669"/>
  </r>
  <r>
    <s v="Abelgas, Jemry"/>
    <x v="0"/>
    <s v="Delivery Helper"/>
    <x v="0"/>
    <n v="8652.34375"/>
    <n v="847.86"/>
    <n v="1432.8600000000001"/>
    <n v="153.30000000000001"/>
    <n v="443"/>
  </r>
  <r>
    <s v="Mencedez, Raffy"/>
    <x v="0"/>
    <s v="Delivery Helper"/>
    <x v="0"/>
    <n v="7791.2625000000007"/>
    <n v="847.86"/>
    <n v="1432.8600000000001"/>
    <n v="53.3"/>
    <n v="387.625"/>
  </r>
  <r>
    <s v="Monreal, Andy"/>
    <x v="0"/>
    <s v="Delivery Helper"/>
    <x v="0"/>
    <n v="6202"/>
    <n v="847.86"/>
    <n v="1432.8600000000001"/>
    <n v="0"/>
    <n v="332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showDrill="0" showDataTips="0" useAutoFormatting="1" itemPrintTitles="1" createdVersion="6" indent="0" showHeaders="0" compact="0" compactData="0" gridDropZones="1" multipleFieldFilters="0">
  <location ref="A23:G26" firstHeaderRow="1" firstDataRow="2" firstDataCol="2"/>
  <pivotFields count="9">
    <pivotField compact="0" outline="0" showAll="0"/>
    <pivotField axis="axisRow" compact="0" outline="0" showAll="0" defaultSubtotal="0">
      <items count="1">
        <item x="0"/>
      </items>
    </pivotField>
    <pivotField compact="0" outline="0" showAll="0"/>
    <pivotField axis="axisRow" compact="0" outline="0" showAll="0" defaultSubtotal="0">
      <items count="1">
        <item x="0"/>
      </items>
    </pivotField>
    <pivotField dataField="1" compact="0" numFmtId="43" outline="0" showAll="0"/>
    <pivotField dataField="1" compact="0" outline="0" showAll="0" defaultSubtotal="0"/>
    <pivotField dataField="1" compact="0" outline="0" showAll="0" defaultSubtotal="0"/>
    <pivotField dataField="1" compact="0" outline="0" showAll="0"/>
    <pivotField dataField="1" compact="0" numFmtId="43" outline="0" showAll="0"/>
  </pivotFields>
  <rowFields count="2">
    <field x="3"/>
    <field x="1"/>
  </rowFields>
  <rowItems count="2">
    <i>
      <x/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GP" fld="4" baseField="0" baseItem="0" numFmtId="43"/>
    <dataField name="Sum of EE" fld="5" baseField="1" baseItem="0" numFmtId="43"/>
    <dataField name="Sum of ER" fld="6" baseField="1" baseItem="0" numFmtId="43"/>
    <dataField name="Sum of Charges" fld="7" baseField="0" baseItem="0" numFmtId="43"/>
    <dataField name="Sum of 13th mo" fld="8" baseField="3" baseItem="0" numFmtId="43"/>
  </dataFields>
  <formats count="3">
    <format dxfId="2">
      <pivotArea outline="0" fieldPosition="0">
        <references count="1">
          <reference field="4294967294" count="1" selected="0">
            <x v="0"/>
          </reference>
        </references>
      </pivotArea>
    </format>
    <format dxfId="1">
      <pivotArea outline="0" fieldPosition="0">
        <references count="1">
          <reference field="4294967294" count="2" selected="0">
            <x v="1"/>
            <x v="2"/>
          </reference>
        </references>
      </pivotArea>
    </format>
    <format dxfId="0">
      <pivotArea outline="0" fieldPosition="0">
        <references count="1">
          <reference field="4294967294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GW21"/>
  <sheetViews>
    <sheetView topLeftCell="A4" workbookViewId="0">
      <pane xSplit="4" ySplit="5" topLeftCell="CB9" activePane="bottomRight" state="frozen"/>
      <selection activeCell="A4" sqref="A4"/>
      <selection pane="topRight" activeCell="E4" sqref="E4"/>
      <selection pane="bottomLeft" activeCell="A9" sqref="A9"/>
      <selection pane="bottomRight" activeCell="BX7" sqref="BX7:BX8"/>
    </sheetView>
  </sheetViews>
  <sheetFormatPr defaultRowHeight="15" x14ac:dyDescent="0.25"/>
  <cols>
    <col min="1" max="1" width="3.7109375" style="2" customWidth="1"/>
    <col min="2" max="2" width="31.140625" style="3" customWidth="1"/>
    <col min="3" max="3" width="11.140625" style="3" customWidth="1"/>
    <col min="4" max="4" width="12.28515625" style="3" hidden="1" customWidth="1"/>
    <col min="5" max="5" width="23" style="3" customWidth="1"/>
    <col min="6" max="6" width="13.7109375" style="3" hidden="1" customWidth="1"/>
    <col min="7" max="7" width="13.42578125" style="3" customWidth="1"/>
    <col min="8" max="8" width="13.140625" style="3" customWidth="1"/>
    <col min="9" max="9" width="11.140625" style="3" customWidth="1"/>
    <col min="10" max="10" width="11.7109375" style="3" customWidth="1"/>
    <col min="11" max="11" width="11.140625" style="3" customWidth="1"/>
    <col min="12" max="12" width="11.5703125" style="3" customWidth="1"/>
    <col min="13" max="13" width="12.7109375" style="3" customWidth="1"/>
    <col min="14" max="14" width="10" style="3" customWidth="1"/>
    <col min="15" max="15" width="14.85546875" style="3" customWidth="1"/>
    <col min="16" max="16" width="9.140625" style="3" customWidth="1"/>
    <col min="17" max="17" width="15.28515625" style="3" customWidth="1"/>
    <col min="18" max="18" width="9.7109375" style="3" customWidth="1"/>
    <col min="19" max="19" width="14.140625" style="3" customWidth="1"/>
    <col min="20" max="20" width="9.140625" style="3" customWidth="1"/>
    <col min="21" max="21" width="15.140625" style="3" customWidth="1"/>
    <col min="22" max="22" width="10.85546875" style="3" customWidth="1"/>
    <col min="23" max="23" width="15.5703125" style="3" customWidth="1"/>
    <col min="24" max="24" width="9.140625" style="3" customWidth="1"/>
    <col min="25" max="25" width="12.42578125" style="3" customWidth="1"/>
    <col min="26" max="26" width="12.140625" style="3" customWidth="1"/>
    <col min="27" max="27" width="15" style="3" customWidth="1"/>
    <col min="28" max="29" width="12.140625" style="3" customWidth="1"/>
    <col min="30" max="30" width="10.42578125" style="3" customWidth="1"/>
    <col min="31" max="31" width="14" style="3" customWidth="1"/>
    <col min="32" max="32" width="11.7109375" style="3" customWidth="1"/>
    <col min="33" max="33" width="13.28515625" style="3" customWidth="1"/>
    <col min="34" max="34" width="10.85546875" style="3" customWidth="1"/>
    <col min="35" max="35" width="12.7109375" style="3" customWidth="1"/>
    <col min="36" max="36" width="9.140625" style="3" customWidth="1"/>
    <col min="37" max="37" width="12.5703125" style="3" customWidth="1"/>
    <col min="38" max="38" width="10.5703125" style="3" customWidth="1"/>
    <col min="39" max="39" width="13.28515625" style="3" customWidth="1"/>
    <col min="40" max="40" width="10.5703125" style="3" customWidth="1"/>
    <col min="41" max="41" width="13.85546875" style="3" customWidth="1"/>
    <col min="42" max="42" width="11.5703125" style="3" customWidth="1"/>
    <col min="43" max="43" width="15.42578125" style="3" customWidth="1"/>
    <col min="44" max="44" width="11" style="3" customWidth="1"/>
    <col min="45" max="45" width="9.5703125" style="3" customWidth="1"/>
    <col min="46" max="46" width="11.85546875" style="3" customWidth="1"/>
    <col min="47" max="47" width="11.42578125" style="3" customWidth="1"/>
    <col min="48" max="48" width="12.42578125" style="3" customWidth="1"/>
    <col min="49" max="49" width="12.28515625" style="3" customWidth="1"/>
    <col min="50" max="50" width="13.140625" style="3" customWidth="1"/>
    <col min="51" max="51" width="15.140625" style="3" customWidth="1"/>
    <col min="52" max="52" width="13.140625" style="3" customWidth="1"/>
    <col min="53" max="53" width="14.42578125" style="3" customWidth="1"/>
    <col min="54" max="54" width="9.140625" style="3" customWidth="1"/>
    <col min="55" max="55" width="11.28515625" style="3" customWidth="1"/>
    <col min="56" max="56" width="9.140625" style="3" customWidth="1"/>
    <col min="57" max="57" width="17.85546875" style="3" customWidth="1"/>
    <col min="58" max="58" width="9.5703125" style="3" customWidth="1"/>
    <col min="59" max="59" width="9.7109375" style="3" customWidth="1"/>
    <col min="60" max="60" width="11.7109375" style="3" customWidth="1"/>
    <col min="61" max="61" width="13.85546875" style="3" customWidth="1"/>
    <col min="62" max="62" width="12.42578125" style="3" customWidth="1"/>
    <col min="63" max="63" width="11.140625" style="3" customWidth="1"/>
    <col min="64" max="64" width="14.85546875" style="3" customWidth="1"/>
    <col min="65" max="65" width="11.5703125" style="3" customWidth="1"/>
    <col min="66" max="66" width="9.42578125" style="3" customWidth="1"/>
    <col min="67" max="67" width="13.42578125" style="3" customWidth="1"/>
    <col min="68" max="68" width="12.28515625" style="3" customWidth="1"/>
    <col min="69" max="69" width="11" style="3" customWidth="1"/>
    <col min="70" max="71" width="11.7109375" style="3" customWidth="1"/>
    <col min="72" max="72" width="11.140625" style="3" customWidth="1"/>
    <col min="73" max="73" width="13.140625" style="3" customWidth="1"/>
    <col min="74" max="74" width="13" style="3" customWidth="1"/>
    <col min="75" max="75" width="14" style="3" customWidth="1"/>
    <col min="76" max="76" width="11" style="3" customWidth="1"/>
    <col min="77" max="79" width="13.28515625" style="3" customWidth="1"/>
    <col min="80" max="80" width="12.42578125" style="3" customWidth="1"/>
    <col min="81" max="81" width="14.85546875" style="3" customWidth="1"/>
    <col min="82" max="82" width="7" style="3" customWidth="1"/>
    <col min="83" max="83" width="11.28515625" style="3" customWidth="1"/>
    <col min="84" max="84" width="8" style="3" customWidth="1"/>
    <col min="85" max="85" width="11.28515625" style="3" customWidth="1"/>
    <col min="86" max="86" width="7.85546875" style="3" customWidth="1"/>
    <col min="87" max="88" width="11.28515625" style="3" customWidth="1"/>
    <col min="89" max="89" width="14.85546875" style="4" customWidth="1"/>
    <col min="90" max="91" width="17.7109375" style="4" customWidth="1"/>
    <col min="92" max="92" width="19.7109375" style="3" customWidth="1"/>
    <col min="93" max="93" width="25.42578125" style="3" customWidth="1"/>
    <col min="94" max="94" width="28.7109375" style="3" customWidth="1"/>
    <col min="95" max="95" width="21.5703125" style="3" customWidth="1"/>
    <col min="96" max="98" width="19.42578125" style="3" customWidth="1"/>
    <col min="99" max="99" width="23.7109375" style="3" customWidth="1"/>
    <col min="100" max="100" width="26.5703125" style="3" customWidth="1"/>
    <col min="101" max="101" width="15" style="3" customWidth="1"/>
    <col min="102" max="102" width="17.140625" style="3" customWidth="1"/>
    <col min="103" max="103" width="15.85546875" style="3" customWidth="1"/>
    <col min="104" max="104" width="12.140625" style="3" customWidth="1"/>
    <col min="105" max="106" width="12.85546875" style="3" customWidth="1"/>
    <col min="107" max="107" width="11.5703125" style="3" customWidth="1"/>
    <col min="108" max="108" width="15.28515625" style="3" customWidth="1"/>
    <col min="109" max="110" width="11.5703125" style="3" customWidth="1"/>
    <col min="111" max="111" width="9.140625" style="3" customWidth="1"/>
    <col min="112" max="115" width="10.42578125" style="3" customWidth="1"/>
    <col min="116" max="116" width="14.42578125" style="3" customWidth="1"/>
    <col min="117" max="117" width="16.42578125" style="3" customWidth="1"/>
    <col min="118" max="119" width="13.42578125" style="3" customWidth="1"/>
    <col min="120" max="120" width="11.7109375" style="3" customWidth="1"/>
    <col min="121" max="121" width="11.42578125" style="3" customWidth="1"/>
    <col min="122" max="122" width="11.140625" style="3" customWidth="1"/>
    <col min="123" max="123" width="12.7109375" style="3" customWidth="1"/>
    <col min="124" max="124" width="12.5703125" style="3" customWidth="1"/>
    <col min="125" max="125" width="13.7109375" style="3" customWidth="1"/>
    <col min="126" max="126" width="14.42578125" style="3" customWidth="1"/>
    <col min="127" max="127" width="16.140625" style="3" customWidth="1"/>
    <col min="128" max="128" width="14.28515625" style="3" customWidth="1"/>
    <col min="129" max="129" width="12.5703125" style="3" customWidth="1"/>
    <col min="130" max="130" width="15.7109375" style="3" customWidth="1"/>
    <col min="131" max="131" width="9.140625" customWidth="1"/>
    <col min="132" max="132" width="12.7109375" style="5" customWidth="1"/>
    <col min="133" max="133" width="12.42578125" style="5" customWidth="1"/>
    <col min="134" max="134" width="13.5703125" style="5" customWidth="1"/>
    <col min="135" max="135" width="12" style="5" customWidth="1"/>
    <col min="136" max="136" width="9.140625" style="5" customWidth="1"/>
    <col min="137" max="137" width="11.7109375" style="5" customWidth="1"/>
    <col min="138" max="138" width="10.85546875" style="5" customWidth="1"/>
    <col min="139" max="139" width="9.140625" style="5" customWidth="1"/>
    <col min="140" max="140" width="11.7109375" style="5" customWidth="1"/>
    <col min="141" max="141" width="12.85546875" style="5" customWidth="1"/>
    <col min="142" max="142" width="10.28515625" style="5" customWidth="1"/>
    <col min="143" max="143" width="10.85546875" style="5" customWidth="1"/>
    <col min="144" max="144" width="12" style="5" customWidth="1"/>
    <col min="145" max="145" width="11.7109375" style="5" customWidth="1"/>
    <col min="146" max="146" width="10.5703125" style="5" customWidth="1"/>
    <col min="147" max="147" width="12.85546875" style="5" customWidth="1"/>
    <col min="148" max="148" width="10.85546875" style="5" customWidth="1"/>
    <col min="149" max="149" width="10.28515625" style="5" customWidth="1"/>
    <col min="150" max="151" width="12" style="5" customWidth="1"/>
    <col min="152" max="152" width="13.42578125" style="5" customWidth="1"/>
    <col min="153" max="153" width="11.42578125" style="5" customWidth="1"/>
    <col min="154" max="154" width="12.140625" style="5" customWidth="1"/>
    <col min="155" max="155" width="11.7109375" style="5" customWidth="1"/>
    <col min="156" max="156" width="10.85546875" style="5" customWidth="1"/>
    <col min="157" max="157" width="9.140625" style="5" customWidth="1"/>
    <col min="158" max="158" width="13.42578125" style="5" customWidth="1"/>
    <col min="159" max="159" width="15.5703125" style="5" customWidth="1"/>
    <col min="160" max="160" width="14" style="5" customWidth="1"/>
    <col min="161" max="161" width="12.85546875" style="5" customWidth="1"/>
    <col min="162" max="162" width="11.140625" style="5" customWidth="1"/>
    <col min="163" max="163" width="12" style="5" customWidth="1"/>
    <col min="164" max="164" width="10.42578125" style="5" customWidth="1"/>
    <col min="165" max="165" width="17.140625" style="5" customWidth="1"/>
    <col min="166" max="166" width="12" style="5" customWidth="1"/>
    <col min="167" max="168" width="9.140625" style="5" customWidth="1"/>
    <col min="169" max="169" width="12.7109375" style="6" customWidth="1"/>
    <col min="170" max="170" width="14.5703125" style="6" customWidth="1"/>
    <col min="171" max="171" width="16.28515625" style="6" customWidth="1"/>
    <col min="172" max="172" width="14.140625" style="6" customWidth="1"/>
    <col min="173" max="173" width="13.140625" style="6" customWidth="1"/>
    <col min="174" max="174" width="14.28515625" style="6" customWidth="1"/>
    <col min="175" max="175" width="15.42578125" style="6" customWidth="1"/>
    <col min="176" max="176" width="16.42578125" style="6" customWidth="1"/>
    <col min="177" max="177" width="12.140625" style="6" customWidth="1"/>
    <col min="178" max="178" width="12.85546875" style="6" customWidth="1"/>
    <col min="179" max="179" width="15" style="6" customWidth="1"/>
    <col min="180" max="180" width="14" style="6" customWidth="1"/>
    <col min="181" max="181" width="15.42578125" style="6" customWidth="1"/>
    <col min="182" max="182" width="16.28515625" style="6" customWidth="1"/>
    <col min="183" max="183" width="14.7109375" style="6" customWidth="1"/>
    <col min="184" max="185" width="17.85546875" style="6" customWidth="1"/>
    <col min="186" max="186" width="11.140625" style="6" customWidth="1"/>
    <col min="187" max="187" width="13.5703125" style="6" customWidth="1"/>
    <col min="188" max="188" width="14.85546875" style="6" customWidth="1"/>
    <col min="189" max="189" width="12.5703125" style="6" customWidth="1"/>
    <col min="190" max="190" width="11.5703125" style="6" customWidth="1"/>
    <col min="191" max="191" width="13.85546875" style="6" customWidth="1"/>
    <col min="192" max="192" width="11.140625" style="6" customWidth="1"/>
    <col min="193" max="193" width="10.85546875" style="6" customWidth="1"/>
    <col min="194" max="194" width="10.42578125" style="6" customWidth="1"/>
    <col min="195" max="195" width="13.42578125" style="6" customWidth="1"/>
    <col min="196" max="196" width="15.5703125" style="6" customWidth="1"/>
    <col min="197" max="197" width="12.85546875" style="6" customWidth="1"/>
    <col min="198" max="198" width="11.42578125" style="6" customWidth="1"/>
    <col min="199" max="199" width="12.140625" style="6" customWidth="1"/>
    <col min="200" max="200" width="14.140625" style="6" customWidth="1"/>
    <col min="201" max="201" width="11.140625" style="6" customWidth="1"/>
    <col min="202" max="202" width="17.140625" style="6" customWidth="1"/>
    <col min="203" max="203" width="13.5703125" style="6" customWidth="1"/>
    <col min="204" max="204" width="11.28515625" style="5" customWidth="1"/>
    <col min="205" max="205" width="9.140625" style="5" customWidth="1"/>
    <col min="206" max="281" width="9.140625" style="5"/>
    <col min="282" max="282" width="3.7109375" style="5" customWidth="1"/>
    <col min="283" max="283" width="26.5703125" style="5" customWidth="1"/>
    <col min="284" max="285" width="13.7109375" style="5" customWidth="1"/>
    <col min="286" max="286" width="11.42578125" style="5" customWidth="1"/>
    <col min="287" max="287" width="13.42578125" style="5" customWidth="1"/>
    <col min="288" max="288" width="11.140625" style="5" customWidth="1"/>
    <col min="289" max="289" width="10.28515625" style="5" customWidth="1"/>
    <col min="290" max="290" width="9.42578125" style="5" customWidth="1"/>
    <col min="291" max="291" width="8.140625" style="5" customWidth="1"/>
    <col min="292" max="292" width="11.42578125" style="5" customWidth="1"/>
    <col min="293" max="293" width="7.7109375" style="5" customWidth="1"/>
    <col min="294" max="294" width="9" style="5" customWidth="1"/>
    <col min="295" max="296" width="9.140625" style="5" customWidth="1"/>
    <col min="297" max="301" width="9.140625" style="5"/>
    <col min="302" max="302" width="9" style="5" customWidth="1"/>
    <col min="303" max="303" width="9.140625" style="5"/>
    <col min="304" max="304" width="15.140625" style="5" customWidth="1"/>
    <col min="305" max="313" width="9.140625" style="5"/>
    <col min="314" max="314" width="10.5703125" style="5" customWidth="1"/>
    <col min="315" max="319" width="9.140625" style="5"/>
    <col min="320" max="320" width="9" style="5" bestFit="1" customWidth="1"/>
    <col min="321" max="321" width="12.140625" style="5" customWidth="1"/>
    <col min="322" max="322" width="13.28515625" style="5" customWidth="1"/>
    <col min="323" max="323" width="9.140625" style="5"/>
    <col min="324" max="324" width="13.140625" style="5" customWidth="1"/>
    <col min="325" max="325" width="11.5703125" style="5" customWidth="1"/>
    <col min="326" max="326" width="15.42578125" style="5" bestFit="1" customWidth="1"/>
    <col min="327" max="344" width="9.140625" style="5"/>
    <col min="345" max="347" width="11.140625" style="5" customWidth="1"/>
    <col min="348" max="348" width="14.85546875" style="5" bestFit="1" customWidth="1"/>
    <col min="349" max="354" width="14.85546875" style="5" customWidth="1"/>
    <col min="355" max="358" width="11.140625" style="5" customWidth="1"/>
    <col min="359" max="359" width="11" style="5" customWidth="1"/>
    <col min="360" max="360" width="13.28515625" style="5" customWidth="1"/>
    <col min="361" max="361" width="12.42578125" style="5" customWidth="1"/>
    <col min="362" max="370" width="14.85546875" style="5" customWidth="1"/>
    <col min="371" max="371" width="13.140625" style="5" customWidth="1"/>
    <col min="372" max="372" width="13.7109375" style="5" customWidth="1"/>
    <col min="373" max="375" width="13.28515625" style="5" customWidth="1"/>
    <col min="376" max="376" width="15.7109375" style="5" customWidth="1"/>
    <col min="377" max="377" width="9.140625" style="5"/>
    <col min="378" max="378" width="10.28515625" style="5" bestFit="1" customWidth="1"/>
    <col min="379" max="379" width="11.5703125" style="5" bestFit="1" customWidth="1"/>
    <col min="380" max="380" width="9.140625" style="5" customWidth="1"/>
    <col min="381" max="381" width="10.42578125" style="5" customWidth="1"/>
    <col min="382" max="383" width="15.85546875" style="5" customWidth="1"/>
    <col min="384" max="385" width="16.85546875" style="5" customWidth="1"/>
    <col min="386" max="386" width="14.42578125" style="5" customWidth="1"/>
    <col min="387" max="388" width="14.28515625" style="5" customWidth="1"/>
    <col min="389" max="389" width="14.7109375" style="5" customWidth="1"/>
    <col min="390" max="390" width="15.7109375" style="5" customWidth="1"/>
    <col min="391" max="391" width="9.140625" style="5"/>
    <col min="392" max="392" width="10.28515625" style="5" bestFit="1" customWidth="1"/>
    <col min="393" max="393" width="9.140625" style="5"/>
    <col min="394" max="394" width="11.5703125" style="5" bestFit="1" customWidth="1"/>
    <col min="395" max="395" width="9.28515625" style="5" bestFit="1" customWidth="1"/>
    <col min="396" max="396" width="9.140625" style="5"/>
    <col min="397" max="397" width="11.7109375" style="5" customWidth="1"/>
    <col min="398" max="398" width="10.28515625" style="5" bestFit="1" customWidth="1"/>
    <col min="399" max="399" width="9.140625" style="5"/>
    <col min="400" max="400" width="11" style="5" bestFit="1" customWidth="1"/>
    <col min="401" max="401" width="10" style="5" bestFit="1" customWidth="1"/>
    <col min="402" max="402" width="10.28515625" style="5" bestFit="1" customWidth="1"/>
    <col min="403" max="403" width="9.28515625" style="5" bestFit="1" customWidth="1"/>
    <col min="404" max="404" width="11.28515625" style="5" bestFit="1" customWidth="1"/>
    <col min="405" max="405" width="9.42578125" style="5" bestFit="1" customWidth="1"/>
    <col min="406" max="406" width="8.140625" style="5" bestFit="1" customWidth="1"/>
    <col min="407" max="407" width="10" style="5" bestFit="1" customWidth="1"/>
    <col min="408" max="408" width="10.28515625" style="5" bestFit="1" customWidth="1"/>
    <col min="409" max="409" width="8.7109375" style="5" customWidth="1"/>
    <col min="410" max="410" width="10.28515625" style="5" bestFit="1" customWidth="1"/>
    <col min="411" max="411" width="11.28515625" style="5" bestFit="1" customWidth="1"/>
    <col min="412" max="412" width="10.85546875" style="5" bestFit="1" customWidth="1"/>
    <col min="413" max="413" width="9.85546875" style="5" bestFit="1" customWidth="1"/>
    <col min="414" max="415" width="9.140625" style="5"/>
    <col min="416" max="416" width="9.85546875" style="5" bestFit="1" customWidth="1"/>
    <col min="417" max="420" width="9.140625" style="5"/>
    <col min="421" max="421" width="13.5703125" style="5" bestFit="1" customWidth="1"/>
    <col min="422" max="422" width="10.28515625" style="5" bestFit="1" customWidth="1"/>
    <col min="423" max="537" width="9.140625" style="5"/>
    <col min="538" max="538" width="3.7109375" style="5" customWidth="1"/>
    <col min="539" max="539" width="26.5703125" style="5" customWidth="1"/>
    <col min="540" max="541" width="13.7109375" style="5" customWidth="1"/>
    <col min="542" max="542" width="11.42578125" style="5" customWidth="1"/>
    <col min="543" max="543" width="13.42578125" style="5" customWidth="1"/>
    <col min="544" max="544" width="11.140625" style="5" customWidth="1"/>
    <col min="545" max="545" width="10.28515625" style="5" customWidth="1"/>
    <col min="546" max="546" width="9.42578125" style="5" customWidth="1"/>
    <col min="547" max="547" width="8.140625" style="5" customWidth="1"/>
    <col min="548" max="548" width="11.42578125" style="5" customWidth="1"/>
    <col min="549" max="549" width="7.7109375" style="5" customWidth="1"/>
    <col min="550" max="550" width="9" style="5" customWidth="1"/>
    <col min="551" max="552" width="9.140625" style="5" customWidth="1"/>
    <col min="553" max="557" width="9.140625" style="5"/>
    <col min="558" max="558" width="9" style="5" customWidth="1"/>
    <col min="559" max="559" width="9.140625" style="5"/>
    <col min="560" max="560" width="15.140625" style="5" customWidth="1"/>
    <col min="561" max="569" width="9.140625" style="5"/>
    <col min="570" max="570" width="10.5703125" style="5" customWidth="1"/>
    <col min="571" max="575" width="9.140625" style="5"/>
    <col min="576" max="576" width="9" style="5" bestFit="1" customWidth="1"/>
    <col min="577" max="577" width="12.140625" style="5" customWidth="1"/>
    <col min="578" max="578" width="13.28515625" style="5" customWidth="1"/>
    <col min="579" max="579" width="9.140625" style="5"/>
    <col min="580" max="580" width="13.140625" style="5" customWidth="1"/>
    <col min="581" max="581" width="11.5703125" style="5" customWidth="1"/>
    <col min="582" max="582" width="15.42578125" style="5" bestFit="1" customWidth="1"/>
    <col min="583" max="600" width="9.140625" style="5"/>
    <col min="601" max="603" width="11.140625" style="5" customWidth="1"/>
    <col min="604" max="604" width="14.85546875" style="5" bestFit="1" customWidth="1"/>
    <col min="605" max="610" width="14.85546875" style="5" customWidth="1"/>
    <col min="611" max="614" width="11.140625" style="5" customWidth="1"/>
    <col min="615" max="615" width="11" style="5" customWidth="1"/>
    <col min="616" max="616" width="13.28515625" style="5" customWidth="1"/>
    <col min="617" max="617" width="12.42578125" style="5" customWidth="1"/>
    <col min="618" max="626" width="14.85546875" style="5" customWidth="1"/>
    <col min="627" max="627" width="13.140625" style="5" customWidth="1"/>
    <col min="628" max="628" width="13.7109375" style="5" customWidth="1"/>
    <col min="629" max="631" width="13.28515625" style="5" customWidth="1"/>
    <col min="632" max="632" width="15.7109375" style="5" customWidth="1"/>
    <col min="633" max="633" width="9.140625" style="5"/>
    <col min="634" max="634" width="10.28515625" style="5" bestFit="1" customWidth="1"/>
    <col min="635" max="635" width="11.5703125" style="5" bestFit="1" customWidth="1"/>
    <col min="636" max="636" width="9.140625" style="5" customWidth="1"/>
    <col min="637" max="637" width="10.42578125" style="5" customWidth="1"/>
    <col min="638" max="639" width="15.85546875" style="5" customWidth="1"/>
    <col min="640" max="641" width="16.85546875" style="5" customWidth="1"/>
    <col min="642" max="642" width="14.42578125" style="5" customWidth="1"/>
    <col min="643" max="644" width="14.28515625" style="5" customWidth="1"/>
    <col min="645" max="645" width="14.7109375" style="5" customWidth="1"/>
    <col min="646" max="646" width="15.7109375" style="5" customWidth="1"/>
    <col min="647" max="647" width="9.140625" style="5"/>
    <col min="648" max="648" width="10.28515625" style="5" bestFit="1" customWidth="1"/>
    <col min="649" max="649" width="9.140625" style="5"/>
    <col min="650" max="650" width="11.5703125" style="5" bestFit="1" customWidth="1"/>
    <col min="651" max="651" width="9.28515625" style="5" bestFit="1" customWidth="1"/>
    <col min="652" max="652" width="9.140625" style="5"/>
    <col min="653" max="653" width="11.7109375" style="5" customWidth="1"/>
    <col min="654" max="654" width="10.28515625" style="5" bestFit="1" customWidth="1"/>
    <col min="655" max="655" width="9.140625" style="5"/>
    <col min="656" max="656" width="11" style="5" bestFit="1" customWidth="1"/>
    <col min="657" max="657" width="10" style="5" bestFit="1" customWidth="1"/>
    <col min="658" max="658" width="10.28515625" style="5" bestFit="1" customWidth="1"/>
    <col min="659" max="659" width="9.28515625" style="5" bestFit="1" customWidth="1"/>
    <col min="660" max="660" width="11.28515625" style="5" bestFit="1" customWidth="1"/>
    <col min="661" max="661" width="9.42578125" style="5" bestFit="1" customWidth="1"/>
    <col min="662" max="662" width="8.140625" style="5" bestFit="1" customWidth="1"/>
    <col min="663" max="663" width="10" style="5" bestFit="1" customWidth="1"/>
    <col min="664" max="664" width="10.28515625" style="5" bestFit="1" customWidth="1"/>
    <col min="665" max="665" width="8.7109375" style="5" customWidth="1"/>
    <col min="666" max="666" width="10.28515625" style="5" bestFit="1" customWidth="1"/>
    <col min="667" max="667" width="11.28515625" style="5" bestFit="1" customWidth="1"/>
    <col min="668" max="668" width="10.85546875" style="5" bestFit="1" customWidth="1"/>
    <col min="669" max="669" width="9.85546875" style="5" bestFit="1" customWidth="1"/>
    <col min="670" max="671" width="9.140625" style="5"/>
    <col min="672" max="672" width="9.85546875" style="5" bestFit="1" customWidth="1"/>
    <col min="673" max="676" width="9.140625" style="5"/>
    <col min="677" max="677" width="13.5703125" style="5" bestFit="1" customWidth="1"/>
    <col min="678" max="678" width="10.28515625" style="5" bestFit="1" customWidth="1"/>
    <col min="679" max="793" width="9.140625" style="5"/>
    <col min="794" max="794" width="3.7109375" style="5" customWidth="1"/>
    <col min="795" max="795" width="26.5703125" style="5" customWidth="1"/>
    <col min="796" max="797" width="13.7109375" style="5" customWidth="1"/>
    <col min="798" max="798" width="11.42578125" style="5" customWidth="1"/>
    <col min="799" max="799" width="13.42578125" style="5" customWidth="1"/>
    <col min="800" max="800" width="11.140625" style="5" customWidth="1"/>
    <col min="801" max="801" width="10.28515625" style="5" customWidth="1"/>
    <col min="802" max="802" width="9.42578125" style="5" customWidth="1"/>
    <col min="803" max="803" width="8.140625" style="5" customWidth="1"/>
    <col min="804" max="804" width="11.42578125" style="5" customWidth="1"/>
    <col min="805" max="805" width="7.7109375" style="5" customWidth="1"/>
    <col min="806" max="806" width="9" style="5" customWidth="1"/>
    <col min="807" max="808" width="9.140625" style="5" customWidth="1"/>
    <col min="809" max="813" width="9.140625" style="5"/>
    <col min="814" max="814" width="9" style="5" customWidth="1"/>
    <col min="815" max="815" width="9.140625" style="5"/>
    <col min="816" max="816" width="15.140625" style="5" customWidth="1"/>
    <col min="817" max="825" width="9.140625" style="5"/>
    <col min="826" max="826" width="10.5703125" style="5" customWidth="1"/>
    <col min="827" max="831" width="9.140625" style="5"/>
    <col min="832" max="832" width="9" style="5" bestFit="1" customWidth="1"/>
    <col min="833" max="833" width="12.140625" style="5" customWidth="1"/>
    <col min="834" max="834" width="13.28515625" style="5" customWidth="1"/>
    <col min="835" max="835" width="9.140625" style="5"/>
    <col min="836" max="836" width="13.140625" style="5" customWidth="1"/>
    <col min="837" max="837" width="11.5703125" style="5" customWidth="1"/>
    <col min="838" max="838" width="15.42578125" style="5" bestFit="1" customWidth="1"/>
    <col min="839" max="856" width="9.140625" style="5"/>
    <col min="857" max="859" width="11.140625" style="5" customWidth="1"/>
    <col min="860" max="860" width="14.85546875" style="5" bestFit="1" customWidth="1"/>
    <col min="861" max="866" width="14.85546875" style="5" customWidth="1"/>
    <col min="867" max="870" width="11.140625" style="5" customWidth="1"/>
    <col min="871" max="871" width="11" style="5" customWidth="1"/>
    <col min="872" max="872" width="13.28515625" style="5" customWidth="1"/>
    <col min="873" max="873" width="12.42578125" style="5" customWidth="1"/>
    <col min="874" max="882" width="14.85546875" style="5" customWidth="1"/>
    <col min="883" max="883" width="13.140625" style="5" customWidth="1"/>
    <col min="884" max="884" width="13.7109375" style="5" customWidth="1"/>
    <col min="885" max="887" width="13.28515625" style="5" customWidth="1"/>
    <col min="888" max="888" width="15.7109375" style="5" customWidth="1"/>
    <col min="889" max="889" width="9.140625" style="5"/>
    <col min="890" max="890" width="10.28515625" style="5" bestFit="1" customWidth="1"/>
    <col min="891" max="891" width="11.5703125" style="5" bestFit="1" customWidth="1"/>
    <col min="892" max="892" width="9.140625" style="5" customWidth="1"/>
    <col min="893" max="893" width="10.42578125" style="5" customWidth="1"/>
    <col min="894" max="895" width="15.85546875" style="5" customWidth="1"/>
    <col min="896" max="897" width="16.85546875" style="5" customWidth="1"/>
    <col min="898" max="898" width="14.42578125" style="5" customWidth="1"/>
    <col min="899" max="900" width="14.28515625" style="5" customWidth="1"/>
    <col min="901" max="901" width="14.7109375" style="5" customWidth="1"/>
    <col min="902" max="902" width="15.7109375" style="5" customWidth="1"/>
    <col min="903" max="903" width="9.140625" style="5"/>
    <col min="904" max="904" width="10.28515625" style="5" bestFit="1" customWidth="1"/>
    <col min="905" max="905" width="9.140625" style="5"/>
    <col min="906" max="906" width="11.5703125" style="5" bestFit="1" customWidth="1"/>
    <col min="907" max="907" width="9.28515625" style="5" bestFit="1" customWidth="1"/>
    <col min="908" max="908" width="9.140625" style="5"/>
    <col min="909" max="909" width="11.7109375" style="5" customWidth="1"/>
    <col min="910" max="910" width="10.28515625" style="5" bestFit="1" customWidth="1"/>
    <col min="911" max="911" width="9.140625" style="5"/>
    <col min="912" max="912" width="11" style="5" bestFit="1" customWidth="1"/>
    <col min="913" max="913" width="10" style="5" bestFit="1" customWidth="1"/>
    <col min="914" max="914" width="10.28515625" style="5" bestFit="1" customWidth="1"/>
    <col min="915" max="915" width="9.28515625" style="5" bestFit="1" customWidth="1"/>
    <col min="916" max="916" width="11.28515625" style="5" bestFit="1" customWidth="1"/>
    <col min="917" max="917" width="9.42578125" style="5" bestFit="1" customWidth="1"/>
    <col min="918" max="918" width="8.140625" style="5" bestFit="1" customWidth="1"/>
    <col min="919" max="919" width="10" style="5" bestFit="1" customWidth="1"/>
    <col min="920" max="920" width="10.28515625" style="5" bestFit="1" customWidth="1"/>
    <col min="921" max="921" width="8.7109375" style="5" customWidth="1"/>
    <col min="922" max="922" width="10.28515625" style="5" bestFit="1" customWidth="1"/>
    <col min="923" max="923" width="11.28515625" style="5" bestFit="1" customWidth="1"/>
    <col min="924" max="924" width="10.85546875" style="5" bestFit="1" customWidth="1"/>
    <col min="925" max="925" width="9.85546875" style="5" bestFit="1" customWidth="1"/>
    <col min="926" max="927" width="9.140625" style="5"/>
    <col min="928" max="928" width="9.85546875" style="5" bestFit="1" customWidth="1"/>
    <col min="929" max="932" width="9.140625" style="5"/>
    <col min="933" max="933" width="13.5703125" style="5" bestFit="1" customWidth="1"/>
    <col min="934" max="934" width="10.28515625" style="5" bestFit="1" customWidth="1"/>
    <col min="935" max="1049" width="9.140625" style="5"/>
    <col min="1050" max="1050" width="3.7109375" style="5" customWidth="1"/>
    <col min="1051" max="1051" width="26.5703125" style="5" customWidth="1"/>
    <col min="1052" max="1053" width="13.7109375" style="5" customWidth="1"/>
    <col min="1054" max="1054" width="11.42578125" style="5" customWidth="1"/>
    <col min="1055" max="1055" width="13.42578125" style="5" customWidth="1"/>
    <col min="1056" max="1056" width="11.140625" style="5" customWidth="1"/>
    <col min="1057" max="1057" width="10.28515625" style="5" customWidth="1"/>
    <col min="1058" max="1058" width="9.42578125" style="5" customWidth="1"/>
    <col min="1059" max="1059" width="8.140625" style="5" customWidth="1"/>
    <col min="1060" max="1060" width="11.42578125" style="5" customWidth="1"/>
    <col min="1061" max="1061" width="7.7109375" style="5" customWidth="1"/>
    <col min="1062" max="1062" width="9" style="5" customWidth="1"/>
    <col min="1063" max="1064" width="9.140625" style="5" customWidth="1"/>
    <col min="1065" max="1069" width="9.140625" style="5"/>
    <col min="1070" max="1070" width="9" style="5" customWidth="1"/>
    <col min="1071" max="1071" width="9.140625" style="5"/>
    <col min="1072" max="1072" width="15.140625" style="5" customWidth="1"/>
    <col min="1073" max="1081" width="9.140625" style="5"/>
    <col min="1082" max="1082" width="10.5703125" style="5" customWidth="1"/>
    <col min="1083" max="1087" width="9.140625" style="5"/>
    <col min="1088" max="1088" width="9" style="5" bestFit="1" customWidth="1"/>
    <col min="1089" max="1089" width="12.140625" style="5" customWidth="1"/>
    <col min="1090" max="1090" width="13.28515625" style="5" customWidth="1"/>
    <col min="1091" max="1091" width="9.140625" style="5"/>
    <col min="1092" max="1092" width="13.140625" style="5" customWidth="1"/>
    <col min="1093" max="1093" width="11.5703125" style="5" customWidth="1"/>
    <col min="1094" max="1094" width="15.42578125" style="5" bestFit="1" customWidth="1"/>
    <col min="1095" max="1112" width="9.140625" style="5"/>
    <col min="1113" max="1115" width="11.140625" style="5" customWidth="1"/>
    <col min="1116" max="1116" width="14.85546875" style="5" bestFit="1" customWidth="1"/>
    <col min="1117" max="1122" width="14.85546875" style="5" customWidth="1"/>
    <col min="1123" max="1126" width="11.140625" style="5" customWidth="1"/>
    <col min="1127" max="1127" width="11" style="5" customWidth="1"/>
    <col min="1128" max="1128" width="13.28515625" style="5" customWidth="1"/>
    <col min="1129" max="1129" width="12.42578125" style="5" customWidth="1"/>
    <col min="1130" max="1138" width="14.85546875" style="5" customWidth="1"/>
    <col min="1139" max="1139" width="13.140625" style="5" customWidth="1"/>
    <col min="1140" max="1140" width="13.7109375" style="5" customWidth="1"/>
    <col min="1141" max="1143" width="13.28515625" style="5" customWidth="1"/>
    <col min="1144" max="1144" width="15.7109375" style="5" customWidth="1"/>
    <col min="1145" max="1145" width="9.140625" style="5"/>
    <col min="1146" max="1146" width="10.28515625" style="5" bestFit="1" customWidth="1"/>
    <col min="1147" max="1147" width="11.5703125" style="5" bestFit="1" customWidth="1"/>
    <col min="1148" max="1148" width="9.140625" style="5" customWidth="1"/>
    <col min="1149" max="1149" width="10.42578125" style="5" customWidth="1"/>
    <col min="1150" max="1151" width="15.85546875" style="5" customWidth="1"/>
    <col min="1152" max="1153" width="16.85546875" style="5" customWidth="1"/>
    <col min="1154" max="1154" width="14.42578125" style="5" customWidth="1"/>
    <col min="1155" max="1156" width="14.28515625" style="5" customWidth="1"/>
    <col min="1157" max="1157" width="14.7109375" style="5" customWidth="1"/>
    <col min="1158" max="1158" width="15.7109375" style="5" customWidth="1"/>
    <col min="1159" max="1159" width="9.140625" style="5"/>
    <col min="1160" max="1160" width="10.28515625" style="5" bestFit="1" customWidth="1"/>
    <col min="1161" max="1161" width="9.140625" style="5"/>
    <col min="1162" max="1162" width="11.5703125" style="5" bestFit="1" customWidth="1"/>
    <col min="1163" max="1163" width="9.28515625" style="5" bestFit="1" customWidth="1"/>
    <col min="1164" max="1164" width="9.140625" style="5"/>
    <col min="1165" max="1165" width="11.7109375" style="5" customWidth="1"/>
    <col min="1166" max="1166" width="10.28515625" style="5" bestFit="1" customWidth="1"/>
    <col min="1167" max="1167" width="9.140625" style="5"/>
    <col min="1168" max="1168" width="11" style="5" bestFit="1" customWidth="1"/>
    <col min="1169" max="1169" width="10" style="5" bestFit="1" customWidth="1"/>
    <col min="1170" max="1170" width="10.28515625" style="5" bestFit="1" customWidth="1"/>
    <col min="1171" max="1171" width="9.28515625" style="5" bestFit="1" customWidth="1"/>
    <col min="1172" max="1172" width="11.28515625" style="5" bestFit="1" customWidth="1"/>
    <col min="1173" max="1173" width="9.42578125" style="5" bestFit="1" customWidth="1"/>
    <col min="1174" max="1174" width="8.140625" style="5" bestFit="1" customWidth="1"/>
    <col min="1175" max="1175" width="10" style="5" bestFit="1" customWidth="1"/>
    <col min="1176" max="1176" width="10.28515625" style="5" bestFit="1" customWidth="1"/>
    <col min="1177" max="1177" width="8.7109375" style="5" customWidth="1"/>
    <col min="1178" max="1178" width="10.28515625" style="5" bestFit="1" customWidth="1"/>
    <col min="1179" max="1179" width="11.28515625" style="5" bestFit="1" customWidth="1"/>
    <col min="1180" max="1180" width="10.85546875" style="5" bestFit="1" customWidth="1"/>
    <col min="1181" max="1181" width="9.85546875" style="5" bestFit="1" customWidth="1"/>
    <col min="1182" max="1183" width="9.140625" style="5"/>
    <col min="1184" max="1184" width="9.85546875" style="5" bestFit="1" customWidth="1"/>
    <col min="1185" max="1188" width="9.140625" style="5"/>
    <col min="1189" max="1189" width="13.5703125" style="5" bestFit="1" customWidth="1"/>
    <col min="1190" max="1190" width="10.28515625" style="5" bestFit="1" customWidth="1"/>
    <col min="1191" max="1305" width="9.140625" style="5"/>
    <col min="1306" max="1306" width="3.7109375" style="5" customWidth="1"/>
    <col min="1307" max="1307" width="26.5703125" style="5" customWidth="1"/>
    <col min="1308" max="1309" width="13.7109375" style="5" customWidth="1"/>
    <col min="1310" max="1310" width="11.42578125" style="5" customWidth="1"/>
    <col min="1311" max="1311" width="13.42578125" style="5" customWidth="1"/>
    <col min="1312" max="1312" width="11.140625" style="5" customWidth="1"/>
    <col min="1313" max="1313" width="10.28515625" style="5" customWidth="1"/>
    <col min="1314" max="1314" width="9.42578125" style="5" customWidth="1"/>
    <col min="1315" max="1315" width="8.140625" style="5" customWidth="1"/>
    <col min="1316" max="1316" width="11.42578125" style="5" customWidth="1"/>
    <col min="1317" max="1317" width="7.7109375" style="5" customWidth="1"/>
    <col min="1318" max="1318" width="9" style="5" customWidth="1"/>
    <col min="1319" max="1320" width="9.140625" style="5" customWidth="1"/>
    <col min="1321" max="1325" width="9.140625" style="5"/>
    <col min="1326" max="1326" width="9" style="5" customWidth="1"/>
    <col min="1327" max="1327" width="9.140625" style="5"/>
    <col min="1328" max="1328" width="15.140625" style="5" customWidth="1"/>
    <col min="1329" max="1337" width="9.140625" style="5"/>
    <col min="1338" max="1338" width="10.5703125" style="5" customWidth="1"/>
    <col min="1339" max="1343" width="9.140625" style="5"/>
    <col min="1344" max="1344" width="9" style="5" bestFit="1" customWidth="1"/>
    <col min="1345" max="1345" width="12.140625" style="5" customWidth="1"/>
    <col min="1346" max="1346" width="13.28515625" style="5" customWidth="1"/>
    <col min="1347" max="1347" width="9.140625" style="5"/>
    <col min="1348" max="1348" width="13.140625" style="5" customWidth="1"/>
    <col min="1349" max="1349" width="11.5703125" style="5" customWidth="1"/>
    <col min="1350" max="1350" width="15.42578125" style="5" bestFit="1" customWidth="1"/>
    <col min="1351" max="1368" width="9.140625" style="5"/>
    <col min="1369" max="1371" width="11.140625" style="5" customWidth="1"/>
    <col min="1372" max="1372" width="14.85546875" style="5" bestFit="1" customWidth="1"/>
    <col min="1373" max="1378" width="14.85546875" style="5" customWidth="1"/>
    <col min="1379" max="1382" width="11.140625" style="5" customWidth="1"/>
    <col min="1383" max="1383" width="11" style="5" customWidth="1"/>
    <col min="1384" max="1384" width="13.28515625" style="5" customWidth="1"/>
    <col min="1385" max="1385" width="12.42578125" style="5" customWidth="1"/>
    <col min="1386" max="1394" width="14.85546875" style="5" customWidth="1"/>
    <col min="1395" max="1395" width="13.140625" style="5" customWidth="1"/>
    <col min="1396" max="1396" width="13.7109375" style="5" customWidth="1"/>
    <col min="1397" max="1399" width="13.28515625" style="5" customWidth="1"/>
    <col min="1400" max="1400" width="15.7109375" style="5" customWidth="1"/>
    <col min="1401" max="1401" width="9.140625" style="5"/>
    <col min="1402" max="1402" width="10.28515625" style="5" bestFit="1" customWidth="1"/>
    <col min="1403" max="1403" width="11.5703125" style="5" bestFit="1" customWidth="1"/>
    <col min="1404" max="1404" width="9.140625" style="5" customWidth="1"/>
    <col min="1405" max="1405" width="10.42578125" style="5" customWidth="1"/>
    <col min="1406" max="1407" width="15.85546875" style="5" customWidth="1"/>
    <col min="1408" max="1409" width="16.85546875" style="5" customWidth="1"/>
    <col min="1410" max="1410" width="14.42578125" style="5" customWidth="1"/>
    <col min="1411" max="1412" width="14.28515625" style="5" customWidth="1"/>
    <col min="1413" max="1413" width="14.7109375" style="5" customWidth="1"/>
    <col min="1414" max="1414" width="15.7109375" style="5" customWidth="1"/>
    <col min="1415" max="1415" width="9.140625" style="5"/>
    <col min="1416" max="1416" width="10.28515625" style="5" bestFit="1" customWidth="1"/>
    <col min="1417" max="1417" width="9.140625" style="5"/>
    <col min="1418" max="1418" width="11.5703125" style="5" bestFit="1" customWidth="1"/>
    <col min="1419" max="1419" width="9.28515625" style="5" bestFit="1" customWidth="1"/>
    <col min="1420" max="1420" width="9.140625" style="5"/>
    <col min="1421" max="1421" width="11.7109375" style="5" customWidth="1"/>
    <col min="1422" max="1422" width="10.28515625" style="5" bestFit="1" customWidth="1"/>
    <col min="1423" max="1423" width="9.140625" style="5"/>
    <col min="1424" max="1424" width="11" style="5" bestFit="1" customWidth="1"/>
    <col min="1425" max="1425" width="10" style="5" bestFit="1" customWidth="1"/>
    <col min="1426" max="1426" width="10.28515625" style="5" bestFit="1" customWidth="1"/>
    <col min="1427" max="1427" width="9.28515625" style="5" bestFit="1" customWidth="1"/>
    <col min="1428" max="1428" width="11.28515625" style="5" bestFit="1" customWidth="1"/>
    <col min="1429" max="1429" width="9.42578125" style="5" bestFit="1" customWidth="1"/>
    <col min="1430" max="1430" width="8.140625" style="5" bestFit="1" customWidth="1"/>
    <col min="1431" max="1431" width="10" style="5" bestFit="1" customWidth="1"/>
    <col min="1432" max="1432" width="10.28515625" style="5" bestFit="1" customWidth="1"/>
    <col min="1433" max="1433" width="8.7109375" style="5" customWidth="1"/>
    <col min="1434" max="1434" width="10.28515625" style="5" bestFit="1" customWidth="1"/>
    <col min="1435" max="1435" width="11.28515625" style="5" bestFit="1" customWidth="1"/>
    <col min="1436" max="1436" width="10.85546875" style="5" bestFit="1" customWidth="1"/>
    <col min="1437" max="1437" width="9.85546875" style="5" bestFit="1" customWidth="1"/>
    <col min="1438" max="1439" width="9.140625" style="5"/>
    <col min="1440" max="1440" width="9.85546875" style="5" bestFit="1" customWidth="1"/>
    <col min="1441" max="1444" width="9.140625" style="5"/>
    <col min="1445" max="1445" width="13.5703125" style="5" bestFit="1" customWidth="1"/>
    <col min="1446" max="1446" width="10.28515625" style="5" bestFit="1" customWidth="1"/>
    <col min="1447" max="1561" width="9.140625" style="5"/>
    <col min="1562" max="1562" width="3.7109375" style="5" customWidth="1"/>
    <col min="1563" max="1563" width="26.5703125" style="5" customWidth="1"/>
    <col min="1564" max="1565" width="13.7109375" style="5" customWidth="1"/>
    <col min="1566" max="1566" width="11.42578125" style="5" customWidth="1"/>
    <col min="1567" max="1567" width="13.42578125" style="5" customWidth="1"/>
    <col min="1568" max="1568" width="11.140625" style="5" customWidth="1"/>
    <col min="1569" max="1569" width="10.28515625" style="5" customWidth="1"/>
    <col min="1570" max="1570" width="9.42578125" style="5" customWidth="1"/>
    <col min="1571" max="1571" width="8.140625" style="5" customWidth="1"/>
    <col min="1572" max="1572" width="11.42578125" style="5" customWidth="1"/>
    <col min="1573" max="1573" width="7.7109375" style="5" customWidth="1"/>
    <col min="1574" max="1574" width="9" style="5" customWidth="1"/>
    <col min="1575" max="1576" width="9.140625" style="5" customWidth="1"/>
    <col min="1577" max="1581" width="9.140625" style="5"/>
    <col min="1582" max="1582" width="9" style="5" customWidth="1"/>
    <col min="1583" max="1583" width="9.140625" style="5"/>
    <col min="1584" max="1584" width="15.140625" style="5" customWidth="1"/>
    <col min="1585" max="1593" width="9.140625" style="5"/>
    <col min="1594" max="1594" width="10.5703125" style="5" customWidth="1"/>
    <col min="1595" max="1599" width="9.140625" style="5"/>
    <col min="1600" max="1600" width="9" style="5" bestFit="1" customWidth="1"/>
    <col min="1601" max="1601" width="12.140625" style="5" customWidth="1"/>
    <col min="1602" max="1602" width="13.28515625" style="5" customWidth="1"/>
    <col min="1603" max="1603" width="9.140625" style="5"/>
    <col min="1604" max="1604" width="13.140625" style="5" customWidth="1"/>
    <col min="1605" max="1605" width="11.5703125" style="5" customWidth="1"/>
    <col min="1606" max="1606" width="15.42578125" style="5" bestFit="1" customWidth="1"/>
    <col min="1607" max="1624" width="9.140625" style="5"/>
    <col min="1625" max="1627" width="11.140625" style="5" customWidth="1"/>
    <col min="1628" max="1628" width="14.85546875" style="5" bestFit="1" customWidth="1"/>
    <col min="1629" max="1634" width="14.85546875" style="5" customWidth="1"/>
    <col min="1635" max="1638" width="11.140625" style="5" customWidth="1"/>
    <col min="1639" max="1639" width="11" style="5" customWidth="1"/>
    <col min="1640" max="1640" width="13.28515625" style="5" customWidth="1"/>
    <col min="1641" max="1641" width="12.42578125" style="5" customWidth="1"/>
    <col min="1642" max="1650" width="14.85546875" style="5" customWidth="1"/>
    <col min="1651" max="1651" width="13.140625" style="5" customWidth="1"/>
    <col min="1652" max="1652" width="13.7109375" style="5" customWidth="1"/>
    <col min="1653" max="1655" width="13.28515625" style="5" customWidth="1"/>
    <col min="1656" max="1656" width="15.7109375" style="5" customWidth="1"/>
    <col min="1657" max="1657" width="9.140625" style="5"/>
    <col min="1658" max="1658" width="10.28515625" style="5" bestFit="1" customWidth="1"/>
    <col min="1659" max="1659" width="11.5703125" style="5" bestFit="1" customWidth="1"/>
    <col min="1660" max="1660" width="9.140625" style="5" customWidth="1"/>
    <col min="1661" max="1661" width="10.42578125" style="5" customWidth="1"/>
    <col min="1662" max="1663" width="15.85546875" style="5" customWidth="1"/>
    <col min="1664" max="1665" width="16.85546875" style="5" customWidth="1"/>
    <col min="1666" max="1666" width="14.42578125" style="5" customWidth="1"/>
    <col min="1667" max="1668" width="14.28515625" style="5" customWidth="1"/>
    <col min="1669" max="1669" width="14.7109375" style="5" customWidth="1"/>
    <col min="1670" max="1670" width="15.7109375" style="5" customWidth="1"/>
    <col min="1671" max="1671" width="9.140625" style="5"/>
    <col min="1672" max="1672" width="10.28515625" style="5" bestFit="1" customWidth="1"/>
    <col min="1673" max="1673" width="9.140625" style="5"/>
    <col min="1674" max="1674" width="11.5703125" style="5" bestFit="1" customWidth="1"/>
    <col min="1675" max="1675" width="9.28515625" style="5" bestFit="1" customWidth="1"/>
    <col min="1676" max="1676" width="9.140625" style="5"/>
    <col min="1677" max="1677" width="11.7109375" style="5" customWidth="1"/>
    <col min="1678" max="1678" width="10.28515625" style="5" bestFit="1" customWidth="1"/>
    <col min="1679" max="1679" width="9.140625" style="5"/>
    <col min="1680" max="1680" width="11" style="5" bestFit="1" customWidth="1"/>
    <col min="1681" max="1681" width="10" style="5" bestFit="1" customWidth="1"/>
    <col min="1682" max="1682" width="10.28515625" style="5" bestFit="1" customWidth="1"/>
    <col min="1683" max="1683" width="9.28515625" style="5" bestFit="1" customWidth="1"/>
    <col min="1684" max="1684" width="11.28515625" style="5" bestFit="1" customWidth="1"/>
    <col min="1685" max="1685" width="9.42578125" style="5" bestFit="1" customWidth="1"/>
    <col min="1686" max="1686" width="8.140625" style="5" bestFit="1" customWidth="1"/>
    <col min="1687" max="1687" width="10" style="5" bestFit="1" customWidth="1"/>
    <col min="1688" max="1688" width="10.28515625" style="5" bestFit="1" customWidth="1"/>
    <col min="1689" max="1689" width="8.7109375" style="5" customWidth="1"/>
    <col min="1690" max="1690" width="10.28515625" style="5" bestFit="1" customWidth="1"/>
    <col min="1691" max="1691" width="11.28515625" style="5" bestFit="1" customWidth="1"/>
    <col min="1692" max="1692" width="10.85546875" style="5" bestFit="1" customWidth="1"/>
    <col min="1693" max="1693" width="9.85546875" style="5" bestFit="1" customWidth="1"/>
    <col min="1694" max="1695" width="9.140625" style="5"/>
    <col min="1696" max="1696" width="9.85546875" style="5" bestFit="1" customWidth="1"/>
    <col min="1697" max="1700" width="9.140625" style="5"/>
    <col min="1701" max="1701" width="13.5703125" style="5" bestFit="1" customWidth="1"/>
    <col min="1702" max="1702" width="10.28515625" style="5" bestFit="1" customWidth="1"/>
    <col min="1703" max="1817" width="9.140625" style="5"/>
    <col min="1818" max="1818" width="3.7109375" style="5" customWidth="1"/>
    <col min="1819" max="1819" width="26.5703125" style="5" customWidth="1"/>
    <col min="1820" max="1821" width="13.7109375" style="5" customWidth="1"/>
    <col min="1822" max="1822" width="11.42578125" style="5" customWidth="1"/>
    <col min="1823" max="1823" width="13.42578125" style="5" customWidth="1"/>
    <col min="1824" max="1824" width="11.140625" style="5" customWidth="1"/>
    <col min="1825" max="1825" width="10.28515625" style="5" customWidth="1"/>
    <col min="1826" max="1826" width="9.42578125" style="5" customWidth="1"/>
    <col min="1827" max="1827" width="8.140625" style="5" customWidth="1"/>
    <col min="1828" max="1828" width="11.42578125" style="5" customWidth="1"/>
    <col min="1829" max="1829" width="7.7109375" style="5" customWidth="1"/>
    <col min="1830" max="1830" width="9" style="5" customWidth="1"/>
    <col min="1831" max="1832" width="9.140625" style="5" customWidth="1"/>
    <col min="1833" max="1837" width="9.140625" style="5"/>
    <col min="1838" max="1838" width="9" style="5" customWidth="1"/>
    <col min="1839" max="1839" width="9.140625" style="5"/>
    <col min="1840" max="1840" width="15.140625" style="5" customWidth="1"/>
    <col min="1841" max="1849" width="9.140625" style="5"/>
    <col min="1850" max="1850" width="10.5703125" style="5" customWidth="1"/>
    <col min="1851" max="1855" width="9.140625" style="5"/>
    <col min="1856" max="1856" width="9" style="5" bestFit="1" customWidth="1"/>
    <col min="1857" max="1857" width="12.140625" style="5" customWidth="1"/>
    <col min="1858" max="1858" width="13.28515625" style="5" customWidth="1"/>
    <col min="1859" max="1859" width="9.140625" style="5"/>
    <col min="1860" max="1860" width="13.140625" style="5" customWidth="1"/>
    <col min="1861" max="1861" width="11.5703125" style="5" customWidth="1"/>
    <col min="1862" max="1862" width="15.42578125" style="5" bestFit="1" customWidth="1"/>
    <col min="1863" max="1880" width="9.140625" style="5"/>
    <col min="1881" max="1883" width="11.140625" style="5" customWidth="1"/>
    <col min="1884" max="1884" width="14.85546875" style="5" bestFit="1" customWidth="1"/>
    <col min="1885" max="1890" width="14.85546875" style="5" customWidth="1"/>
    <col min="1891" max="1894" width="11.140625" style="5" customWidth="1"/>
    <col min="1895" max="1895" width="11" style="5" customWidth="1"/>
    <col min="1896" max="1896" width="13.28515625" style="5" customWidth="1"/>
    <col min="1897" max="1897" width="12.42578125" style="5" customWidth="1"/>
    <col min="1898" max="1906" width="14.85546875" style="5" customWidth="1"/>
    <col min="1907" max="1907" width="13.140625" style="5" customWidth="1"/>
    <col min="1908" max="1908" width="13.7109375" style="5" customWidth="1"/>
    <col min="1909" max="1911" width="13.28515625" style="5" customWidth="1"/>
    <col min="1912" max="1912" width="15.7109375" style="5" customWidth="1"/>
    <col min="1913" max="1913" width="9.140625" style="5"/>
    <col min="1914" max="1914" width="10.28515625" style="5" bestFit="1" customWidth="1"/>
    <col min="1915" max="1915" width="11.5703125" style="5" bestFit="1" customWidth="1"/>
    <col min="1916" max="1916" width="9.140625" style="5" customWidth="1"/>
    <col min="1917" max="1917" width="10.42578125" style="5" customWidth="1"/>
    <col min="1918" max="1919" width="15.85546875" style="5" customWidth="1"/>
    <col min="1920" max="1921" width="16.85546875" style="5" customWidth="1"/>
    <col min="1922" max="1922" width="14.42578125" style="5" customWidth="1"/>
    <col min="1923" max="1924" width="14.28515625" style="5" customWidth="1"/>
    <col min="1925" max="1925" width="14.7109375" style="5" customWidth="1"/>
    <col min="1926" max="1926" width="15.7109375" style="5" customWidth="1"/>
    <col min="1927" max="1927" width="9.140625" style="5"/>
    <col min="1928" max="1928" width="10.28515625" style="5" bestFit="1" customWidth="1"/>
    <col min="1929" max="1929" width="9.140625" style="5"/>
    <col min="1930" max="1930" width="11.5703125" style="5" bestFit="1" customWidth="1"/>
    <col min="1931" max="1931" width="9.28515625" style="5" bestFit="1" customWidth="1"/>
    <col min="1932" max="1932" width="9.140625" style="5"/>
    <col min="1933" max="1933" width="11.7109375" style="5" customWidth="1"/>
    <col min="1934" max="1934" width="10.28515625" style="5" bestFit="1" customWidth="1"/>
    <col min="1935" max="1935" width="9.140625" style="5"/>
    <col min="1936" max="1936" width="11" style="5" bestFit="1" customWidth="1"/>
    <col min="1937" max="1937" width="10" style="5" bestFit="1" customWidth="1"/>
    <col min="1938" max="1938" width="10.28515625" style="5" bestFit="1" customWidth="1"/>
    <col min="1939" max="1939" width="9.28515625" style="5" bestFit="1" customWidth="1"/>
    <col min="1940" max="1940" width="11.28515625" style="5" bestFit="1" customWidth="1"/>
    <col min="1941" max="1941" width="9.42578125" style="5" bestFit="1" customWidth="1"/>
    <col min="1942" max="1942" width="8.140625" style="5" bestFit="1" customWidth="1"/>
    <col min="1943" max="1943" width="10" style="5" bestFit="1" customWidth="1"/>
    <col min="1944" max="1944" width="10.28515625" style="5" bestFit="1" customWidth="1"/>
    <col min="1945" max="1945" width="8.7109375" style="5" customWidth="1"/>
    <col min="1946" max="1946" width="10.28515625" style="5" bestFit="1" customWidth="1"/>
    <col min="1947" max="1947" width="11.28515625" style="5" bestFit="1" customWidth="1"/>
    <col min="1948" max="1948" width="10.85546875" style="5" bestFit="1" customWidth="1"/>
    <col min="1949" max="1949" width="9.85546875" style="5" bestFit="1" customWidth="1"/>
    <col min="1950" max="1951" width="9.140625" style="5"/>
    <col min="1952" max="1952" width="9.85546875" style="5" bestFit="1" customWidth="1"/>
    <col min="1953" max="1956" width="9.140625" style="5"/>
    <col min="1957" max="1957" width="13.5703125" style="5" bestFit="1" customWidth="1"/>
    <col min="1958" max="1958" width="10.28515625" style="5" bestFit="1" customWidth="1"/>
    <col min="1959" max="2073" width="9.140625" style="5"/>
    <col min="2074" max="2074" width="3.7109375" style="5" customWidth="1"/>
    <col min="2075" max="2075" width="26.5703125" style="5" customWidth="1"/>
    <col min="2076" max="2077" width="13.7109375" style="5" customWidth="1"/>
    <col min="2078" max="2078" width="11.42578125" style="5" customWidth="1"/>
    <col min="2079" max="2079" width="13.42578125" style="5" customWidth="1"/>
    <col min="2080" max="2080" width="11.140625" style="5" customWidth="1"/>
    <col min="2081" max="2081" width="10.28515625" style="5" customWidth="1"/>
    <col min="2082" max="2082" width="9.42578125" style="5" customWidth="1"/>
    <col min="2083" max="2083" width="8.140625" style="5" customWidth="1"/>
    <col min="2084" max="2084" width="11.42578125" style="5" customWidth="1"/>
    <col min="2085" max="2085" width="7.7109375" style="5" customWidth="1"/>
    <col min="2086" max="2086" width="9" style="5" customWidth="1"/>
    <col min="2087" max="2088" width="9.140625" style="5" customWidth="1"/>
    <col min="2089" max="2093" width="9.140625" style="5"/>
    <col min="2094" max="2094" width="9" style="5" customWidth="1"/>
    <col min="2095" max="2095" width="9.140625" style="5"/>
    <col min="2096" max="2096" width="15.140625" style="5" customWidth="1"/>
    <col min="2097" max="2105" width="9.140625" style="5"/>
    <col min="2106" max="2106" width="10.5703125" style="5" customWidth="1"/>
    <col min="2107" max="2111" width="9.140625" style="5"/>
    <col min="2112" max="2112" width="9" style="5" bestFit="1" customWidth="1"/>
    <col min="2113" max="2113" width="12.140625" style="5" customWidth="1"/>
    <col min="2114" max="2114" width="13.28515625" style="5" customWidth="1"/>
    <col min="2115" max="2115" width="9.140625" style="5"/>
    <col min="2116" max="2116" width="13.140625" style="5" customWidth="1"/>
    <col min="2117" max="2117" width="11.5703125" style="5" customWidth="1"/>
    <col min="2118" max="2118" width="15.42578125" style="5" bestFit="1" customWidth="1"/>
    <col min="2119" max="2136" width="9.140625" style="5"/>
    <col min="2137" max="2139" width="11.140625" style="5" customWidth="1"/>
    <col min="2140" max="2140" width="14.85546875" style="5" bestFit="1" customWidth="1"/>
    <col min="2141" max="2146" width="14.85546875" style="5" customWidth="1"/>
    <col min="2147" max="2150" width="11.140625" style="5" customWidth="1"/>
    <col min="2151" max="2151" width="11" style="5" customWidth="1"/>
    <col min="2152" max="2152" width="13.28515625" style="5" customWidth="1"/>
    <col min="2153" max="2153" width="12.42578125" style="5" customWidth="1"/>
    <col min="2154" max="2162" width="14.85546875" style="5" customWidth="1"/>
    <col min="2163" max="2163" width="13.140625" style="5" customWidth="1"/>
    <col min="2164" max="2164" width="13.7109375" style="5" customWidth="1"/>
    <col min="2165" max="2167" width="13.28515625" style="5" customWidth="1"/>
    <col min="2168" max="2168" width="15.7109375" style="5" customWidth="1"/>
    <col min="2169" max="2169" width="9.140625" style="5"/>
    <col min="2170" max="2170" width="10.28515625" style="5" bestFit="1" customWidth="1"/>
    <col min="2171" max="2171" width="11.5703125" style="5" bestFit="1" customWidth="1"/>
    <col min="2172" max="2172" width="9.140625" style="5" customWidth="1"/>
    <col min="2173" max="2173" width="10.42578125" style="5" customWidth="1"/>
    <col min="2174" max="2175" width="15.85546875" style="5" customWidth="1"/>
    <col min="2176" max="2177" width="16.85546875" style="5" customWidth="1"/>
    <col min="2178" max="2178" width="14.42578125" style="5" customWidth="1"/>
    <col min="2179" max="2180" width="14.28515625" style="5" customWidth="1"/>
    <col min="2181" max="2181" width="14.7109375" style="5" customWidth="1"/>
    <col min="2182" max="2182" width="15.7109375" style="5" customWidth="1"/>
    <col min="2183" max="2183" width="9.140625" style="5"/>
    <col min="2184" max="2184" width="10.28515625" style="5" bestFit="1" customWidth="1"/>
    <col min="2185" max="2185" width="9.140625" style="5"/>
    <col min="2186" max="2186" width="11.5703125" style="5" bestFit="1" customWidth="1"/>
    <col min="2187" max="2187" width="9.28515625" style="5" bestFit="1" customWidth="1"/>
    <col min="2188" max="2188" width="9.140625" style="5"/>
    <col min="2189" max="2189" width="11.7109375" style="5" customWidth="1"/>
    <col min="2190" max="2190" width="10.28515625" style="5" bestFit="1" customWidth="1"/>
    <col min="2191" max="2191" width="9.140625" style="5"/>
    <col min="2192" max="2192" width="11" style="5" bestFit="1" customWidth="1"/>
    <col min="2193" max="2193" width="10" style="5" bestFit="1" customWidth="1"/>
    <col min="2194" max="2194" width="10.28515625" style="5" bestFit="1" customWidth="1"/>
    <col min="2195" max="2195" width="9.28515625" style="5" bestFit="1" customWidth="1"/>
    <col min="2196" max="2196" width="11.28515625" style="5" bestFit="1" customWidth="1"/>
    <col min="2197" max="2197" width="9.42578125" style="5" bestFit="1" customWidth="1"/>
    <col min="2198" max="2198" width="8.140625" style="5" bestFit="1" customWidth="1"/>
    <col min="2199" max="2199" width="10" style="5" bestFit="1" customWidth="1"/>
    <col min="2200" max="2200" width="10.28515625" style="5" bestFit="1" customWidth="1"/>
    <col min="2201" max="2201" width="8.7109375" style="5" customWidth="1"/>
    <col min="2202" max="2202" width="10.28515625" style="5" bestFit="1" customWidth="1"/>
    <col min="2203" max="2203" width="11.28515625" style="5" bestFit="1" customWidth="1"/>
    <col min="2204" max="2204" width="10.85546875" style="5" bestFit="1" customWidth="1"/>
    <col min="2205" max="2205" width="9.85546875" style="5" bestFit="1" customWidth="1"/>
    <col min="2206" max="2207" width="9.140625" style="5"/>
    <col min="2208" max="2208" width="9.85546875" style="5" bestFit="1" customWidth="1"/>
    <col min="2209" max="2212" width="9.140625" style="5"/>
    <col min="2213" max="2213" width="13.5703125" style="5" bestFit="1" customWidth="1"/>
    <col min="2214" max="2214" width="10.28515625" style="5" bestFit="1" customWidth="1"/>
    <col min="2215" max="2329" width="9.140625" style="5"/>
    <col min="2330" max="2330" width="3.7109375" style="5" customWidth="1"/>
    <col min="2331" max="2331" width="26.5703125" style="5" customWidth="1"/>
    <col min="2332" max="2333" width="13.7109375" style="5" customWidth="1"/>
    <col min="2334" max="2334" width="11.42578125" style="5" customWidth="1"/>
    <col min="2335" max="2335" width="13.42578125" style="5" customWidth="1"/>
    <col min="2336" max="2336" width="11.140625" style="5" customWidth="1"/>
    <col min="2337" max="2337" width="10.28515625" style="5" customWidth="1"/>
    <col min="2338" max="2338" width="9.42578125" style="5" customWidth="1"/>
    <col min="2339" max="2339" width="8.140625" style="5" customWidth="1"/>
    <col min="2340" max="2340" width="11.42578125" style="5" customWidth="1"/>
    <col min="2341" max="2341" width="7.7109375" style="5" customWidth="1"/>
    <col min="2342" max="2342" width="9" style="5" customWidth="1"/>
    <col min="2343" max="2344" width="9.140625" style="5" customWidth="1"/>
    <col min="2345" max="2349" width="9.140625" style="5"/>
    <col min="2350" max="2350" width="9" style="5" customWidth="1"/>
    <col min="2351" max="2351" width="9.140625" style="5"/>
    <col min="2352" max="2352" width="15.140625" style="5" customWidth="1"/>
    <col min="2353" max="2361" width="9.140625" style="5"/>
    <col min="2362" max="2362" width="10.5703125" style="5" customWidth="1"/>
    <col min="2363" max="2367" width="9.140625" style="5"/>
    <col min="2368" max="2368" width="9" style="5" bestFit="1" customWidth="1"/>
    <col min="2369" max="2369" width="12.140625" style="5" customWidth="1"/>
    <col min="2370" max="2370" width="13.28515625" style="5" customWidth="1"/>
    <col min="2371" max="2371" width="9.140625" style="5"/>
    <col min="2372" max="2372" width="13.140625" style="5" customWidth="1"/>
    <col min="2373" max="2373" width="11.5703125" style="5" customWidth="1"/>
    <col min="2374" max="2374" width="15.42578125" style="5" bestFit="1" customWidth="1"/>
    <col min="2375" max="2392" width="9.140625" style="5"/>
    <col min="2393" max="2395" width="11.140625" style="5" customWidth="1"/>
    <col min="2396" max="2396" width="14.85546875" style="5" bestFit="1" customWidth="1"/>
    <col min="2397" max="2402" width="14.85546875" style="5" customWidth="1"/>
    <col min="2403" max="2406" width="11.140625" style="5" customWidth="1"/>
    <col min="2407" max="2407" width="11" style="5" customWidth="1"/>
    <col min="2408" max="2408" width="13.28515625" style="5" customWidth="1"/>
    <col min="2409" max="2409" width="12.42578125" style="5" customWidth="1"/>
    <col min="2410" max="2418" width="14.85546875" style="5" customWidth="1"/>
    <col min="2419" max="2419" width="13.140625" style="5" customWidth="1"/>
    <col min="2420" max="2420" width="13.7109375" style="5" customWidth="1"/>
    <col min="2421" max="2423" width="13.28515625" style="5" customWidth="1"/>
    <col min="2424" max="2424" width="15.7109375" style="5" customWidth="1"/>
    <col min="2425" max="2425" width="9.140625" style="5"/>
    <col min="2426" max="2426" width="10.28515625" style="5" bestFit="1" customWidth="1"/>
    <col min="2427" max="2427" width="11.5703125" style="5" bestFit="1" customWidth="1"/>
    <col min="2428" max="2428" width="9.140625" style="5" customWidth="1"/>
    <col min="2429" max="2429" width="10.42578125" style="5" customWidth="1"/>
    <col min="2430" max="2431" width="15.85546875" style="5" customWidth="1"/>
    <col min="2432" max="2433" width="16.85546875" style="5" customWidth="1"/>
    <col min="2434" max="2434" width="14.42578125" style="5" customWidth="1"/>
    <col min="2435" max="2436" width="14.28515625" style="5" customWidth="1"/>
    <col min="2437" max="2437" width="14.7109375" style="5" customWidth="1"/>
    <col min="2438" max="2438" width="15.7109375" style="5" customWidth="1"/>
    <col min="2439" max="2439" width="9.140625" style="5"/>
    <col min="2440" max="2440" width="10.28515625" style="5" bestFit="1" customWidth="1"/>
    <col min="2441" max="2441" width="9.140625" style="5"/>
    <col min="2442" max="2442" width="11.5703125" style="5" bestFit="1" customWidth="1"/>
    <col min="2443" max="2443" width="9.28515625" style="5" bestFit="1" customWidth="1"/>
    <col min="2444" max="2444" width="9.140625" style="5"/>
    <col min="2445" max="2445" width="11.7109375" style="5" customWidth="1"/>
    <col min="2446" max="2446" width="10.28515625" style="5" bestFit="1" customWidth="1"/>
    <col min="2447" max="2447" width="9.140625" style="5"/>
    <col min="2448" max="2448" width="11" style="5" bestFit="1" customWidth="1"/>
    <col min="2449" max="2449" width="10" style="5" bestFit="1" customWidth="1"/>
    <col min="2450" max="2450" width="10.28515625" style="5" bestFit="1" customWidth="1"/>
    <col min="2451" max="2451" width="9.28515625" style="5" bestFit="1" customWidth="1"/>
    <col min="2452" max="2452" width="11.28515625" style="5" bestFit="1" customWidth="1"/>
    <col min="2453" max="2453" width="9.42578125" style="5" bestFit="1" customWidth="1"/>
    <col min="2454" max="2454" width="8.140625" style="5" bestFit="1" customWidth="1"/>
    <col min="2455" max="2455" width="10" style="5" bestFit="1" customWidth="1"/>
    <col min="2456" max="2456" width="10.28515625" style="5" bestFit="1" customWidth="1"/>
    <col min="2457" max="2457" width="8.7109375" style="5" customWidth="1"/>
    <col min="2458" max="2458" width="10.28515625" style="5" bestFit="1" customWidth="1"/>
    <col min="2459" max="2459" width="11.28515625" style="5" bestFit="1" customWidth="1"/>
    <col min="2460" max="2460" width="10.85546875" style="5" bestFit="1" customWidth="1"/>
    <col min="2461" max="2461" width="9.85546875" style="5" bestFit="1" customWidth="1"/>
    <col min="2462" max="2463" width="9.140625" style="5"/>
    <col min="2464" max="2464" width="9.85546875" style="5" bestFit="1" customWidth="1"/>
    <col min="2465" max="2468" width="9.140625" style="5"/>
    <col min="2469" max="2469" width="13.5703125" style="5" bestFit="1" customWidth="1"/>
    <col min="2470" max="2470" width="10.28515625" style="5" bestFit="1" customWidth="1"/>
    <col min="2471" max="2585" width="9.140625" style="5"/>
    <col min="2586" max="2586" width="3.7109375" style="5" customWidth="1"/>
    <col min="2587" max="2587" width="26.5703125" style="5" customWidth="1"/>
    <col min="2588" max="2589" width="13.7109375" style="5" customWidth="1"/>
    <col min="2590" max="2590" width="11.42578125" style="5" customWidth="1"/>
    <col min="2591" max="2591" width="13.42578125" style="5" customWidth="1"/>
    <col min="2592" max="2592" width="11.140625" style="5" customWidth="1"/>
    <col min="2593" max="2593" width="10.28515625" style="5" customWidth="1"/>
    <col min="2594" max="2594" width="9.42578125" style="5" customWidth="1"/>
    <col min="2595" max="2595" width="8.140625" style="5" customWidth="1"/>
    <col min="2596" max="2596" width="11.42578125" style="5" customWidth="1"/>
    <col min="2597" max="2597" width="7.7109375" style="5" customWidth="1"/>
    <col min="2598" max="2598" width="9" style="5" customWidth="1"/>
    <col min="2599" max="2600" width="9.140625" style="5" customWidth="1"/>
    <col min="2601" max="2605" width="9.140625" style="5"/>
    <col min="2606" max="2606" width="9" style="5" customWidth="1"/>
    <col min="2607" max="2607" width="9.140625" style="5"/>
    <col min="2608" max="2608" width="15.140625" style="5" customWidth="1"/>
    <col min="2609" max="2617" width="9.140625" style="5"/>
    <col min="2618" max="2618" width="10.5703125" style="5" customWidth="1"/>
    <col min="2619" max="2623" width="9.140625" style="5"/>
    <col min="2624" max="2624" width="9" style="5" bestFit="1" customWidth="1"/>
    <col min="2625" max="2625" width="12.140625" style="5" customWidth="1"/>
    <col min="2626" max="2626" width="13.28515625" style="5" customWidth="1"/>
    <col min="2627" max="2627" width="9.140625" style="5"/>
    <col min="2628" max="2628" width="13.140625" style="5" customWidth="1"/>
    <col min="2629" max="2629" width="11.5703125" style="5" customWidth="1"/>
    <col min="2630" max="2630" width="15.42578125" style="5" bestFit="1" customWidth="1"/>
    <col min="2631" max="2648" width="9.140625" style="5"/>
    <col min="2649" max="2651" width="11.140625" style="5" customWidth="1"/>
    <col min="2652" max="2652" width="14.85546875" style="5" bestFit="1" customWidth="1"/>
    <col min="2653" max="2658" width="14.85546875" style="5" customWidth="1"/>
    <col min="2659" max="2662" width="11.140625" style="5" customWidth="1"/>
    <col min="2663" max="2663" width="11" style="5" customWidth="1"/>
    <col min="2664" max="2664" width="13.28515625" style="5" customWidth="1"/>
    <col min="2665" max="2665" width="12.42578125" style="5" customWidth="1"/>
    <col min="2666" max="2674" width="14.85546875" style="5" customWidth="1"/>
    <col min="2675" max="2675" width="13.140625" style="5" customWidth="1"/>
    <col min="2676" max="2676" width="13.7109375" style="5" customWidth="1"/>
    <col min="2677" max="2679" width="13.28515625" style="5" customWidth="1"/>
    <col min="2680" max="2680" width="15.7109375" style="5" customWidth="1"/>
    <col min="2681" max="2681" width="9.140625" style="5"/>
    <col min="2682" max="2682" width="10.28515625" style="5" bestFit="1" customWidth="1"/>
    <col min="2683" max="2683" width="11.5703125" style="5" bestFit="1" customWidth="1"/>
    <col min="2684" max="2684" width="9.140625" style="5" customWidth="1"/>
    <col min="2685" max="2685" width="10.42578125" style="5" customWidth="1"/>
    <col min="2686" max="2687" width="15.85546875" style="5" customWidth="1"/>
    <col min="2688" max="2689" width="16.85546875" style="5" customWidth="1"/>
    <col min="2690" max="2690" width="14.42578125" style="5" customWidth="1"/>
    <col min="2691" max="2692" width="14.28515625" style="5" customWidth="1"/>
    <col min="2693" max="2693" width="14.7109375" style="5" customWidth="1"/>
    <col min="2694" max="2694" width="15.7109375" style="5" customWidth="1"/>
    <col min="2695" max="2695" width="9.140625" style="5"/>
    <col min="2696" max="2696" width="10.28515625" style="5" bestFit="1" customWidth="1"/>
    <col min="2697" max="2697" width="9.140625" style="5"/>
    <col min="2698" max="2698" width="11.5703125" style="5" bestFit="1" customWidth="1"/>
    <col min="2699" max="2699" width="9.28515625" style="5" bestFit="1" customWidth="1"/>
    <col min="2700" max="2700" width="9.140625" style="5"/>
    <col min="2701" max="2701" width="11.7109375" style="5" customWidth="1"/>
    <col min="2702" max="2702" width="10.28515625" style="5" bestFit="1" customWidth="1"/>
    <col min="2703" max="2703" width="9.140625" style="5"/>
    <col min="2704" max="2704" width="11" style="5" bestFit="1" customWidth="1"/>
    <col min="2705" max="2705" width="10" style="5" bestFit="1" customWidth="1"/>
    <col min="2706" max="2706" width="10.28515625" style="5" bestFit="1" customWidth="1"/>
    <col min="2707" max="2707" width="9.28515625" style="5" bestFit="1" customWidth="1"/>
    <col min="2708" max="2708" width="11.28515625" style="5" bestFit="1" customWidth="1"/>
    <col min="2709" max="2709" width="9.42578125" style="5" bestFit="1" customWidth="1"/>
    <col min="2710" max="2710" width="8.140625" style="5" bestFit="1" customWidth="1"/>
    <col min="2711" max="2711" width="10" style="5" bestFit="1" customWidth="1"/>
    <col min="2712" max="2712" width="10.28515625" style="5" bestFit="1" customWidth="1"/>
    <col min="2713" max="2713" width="8.7109375" style="5" customWidth="1"/>
    <col min="2714" max="2714" width="10.28515625" style="5" bestFit="1" customWidth="1"/>
    <col min="2715" max="2715" width="11.28515625" style="5" bestFit="1" customWidth="1"/>
    <col min="2716" max="2716" width="10.85546875" style="5" bestFit="1" customWidth="1"/>
    <col min="2717" max="2717" width="9.85546875" style="5" bestFit="1" customWidth="1"/>
    <col min="2718" max="2719" width="9.140625" style="5"/>
    <col min="2720" max="2720" width="9.85546875" style="5" bestFit="1" customWidth="1"/>
    <col min="2721" max="2724" width="9.140625" style="5"/>
    <col min="2725" max="2725" width="13.5703125" style="5" bestFit="1" customWidth="1"/>
    <col min="2726" max="2726" width="10.28515625" style="5" bestFit="1" customWidth="1"/>
    <col min="2727" max="2841" width="9.140625" style="5"/>
    <col min="2842" max="2842" width="3.7109375" style="5" customWidth="1"/>
    <col min="2843" max="2843" width="26.5703125" style="5" customWidth="1"/>
    <col min="2844" max="2845" width="13.7109375" style="5" customWidth="1"/>
    <col min="2846" max="2846" width="11.42578125" style="5" customWidth="1"/>
    <col min="2847" max="2847" width="13.42578125" style="5" customWidth="1"/>
    <col min="2848" max="2848" width="11.140625" style="5" customWidth="1"/>
    <col min="2849" max="2849" width="10.28515625" style="5" customWidth="1"/>
    <col min="2850" max="2850" width="9.42578125" style="5" customWidth="1"/>
    <col min="2851" max="2851" width="8.140625" style="5" customWidth="1"/>
    <col min="2852" max="2852" width="11.42578125" style="5" customWidth="1"/>
    <col min="2853" max="2853" width="7.7109375" style="5" customWidth="1"/>
    <col min="2854" max="2854" width="9" style="5" customWidth="1"/>
    <col min="2855" max="2856" width="9.140625" style="5" customWidth="1"/>
    <col min="2857" max="2861" width="9.140625" style="5"/>
    <col min="2862" max="2862" width="9" style="5" customWidth="1"/>
    <col min="2863" max="2863" width="9.140625" style="5"/>
    <col min="2864" max="2864" width="15.140625" style="5" customWidth="1"/>
    <col min="2865" max="2873" width="9.140625" style="5"/>
    <col min="2874" max="2874" width="10.5703125" style="5" customWidth="1"/>
    <col min="2875" max="2879" width="9.140625" style="5"/>
    <col min="2880" max="2880" width="9" style="5" bestFit="1" customWidth="1"/>
    <col min="2881" max="2881" width="12.140625" style="5" customWidth="1"/>
    <col min="2882" max="2882" width="13.28515625" style="5" customWidth="1"/>
    <col min="2883" max="2883" width="9.140625" style="5"/>
    <col min="2884" max="2884" width="13.140625" style="5" customWidth="1"/>
    <col min="2885" max="2885" width="11.5703125" style="5" customWidth="1"/>
    <col min="2886" max="2886" width="15.42578125" style="5" bestFit="1" customWidth="1"/>
    <col min="2887" max="2904" width="9.140625" style="5"/>
    <col min="2905" max="2907" width="11.140625" style="5" customWidth="1"/>
    <col min="2908" max="2908" width="14.85546875" style="5" bestFit="1" customWidth="1"/>
    <col min="2909" max="2914" width="14.85546875" style="5" customWidth="1"/>
    <col min="2915" max="2918" width="11.140625" style="5" customWidth="1"/>
    <col min="2919" max="2919" width="11" style="5" customWidth="1"/>
    <col min="2920" max="2920" width="13.28515625" style="5" customWidth="1"/>
    <col min="2921" max="2921" width="12.42578125" style="5" customWidth="1"/>
    <col min="2922" max="2930" width="14.85546875" style="5" customWidth="1"/>
    <col min="2931" max="2931" width="13.140625" style="5" customWidth="1"/>
    <col min="2932" max="2932" width="13.7109375" style="5" customWidth="1"/>
    <col min="2933" max="2935" width="13.28515625" style="5" customWidth="1"/>
    <col min="2936" max="2936" width="15.7109375" style="5" customWidth="1"/>
    <col min="2937" max="2937" width="9.140625" style="5"/>
    <col min="2938" max="2938" width="10.28515625" style="5" bestFit="1" customWidth="1"/>
    <col min="2939" max="2939" width="11.5703125" style="5" bestFit="1" customWidth="1"/>
    <col min="2940" max="2940" width="9.140625" style="5" customWidth="1"/>
    <col min="2941" max="2941" width="10.42578125" style="5" customWidth="1"/>
    <col min="2942" max="2943" width="15.85546875" style="5" customWidth="1"/>
    <col min="2944" max="2945" width="16.85546875" style="5" customWidth="1"/>
    <col min="2946" max="2946" width="14.42578125" style="5" customWidth="1"/>
    <col min="2947" max="2948" width="14.28515625" style="5" customWidth="1"/>
    <col min="2949" max="2949" width="14.7109375" style="5" customWidth="1"/>
    <col min="2950" max="2950" width="15.7109375" style="5" customWidth="1"/>
    <col min="2951" max="2951" width="9.140625" style="5"/>
    <col min="2952" max="2952" width="10.28515625" style="5" bestFit="1" customWidth="1"/>
    <col min="2953" max="2953" width="9.140625" style="5"/>
    <col min="2954" max="2954" width="11.5703125" style="5" bestFit="1" customWidth="1"/>
    <col min="2955" max="2955" width="9.28515625" style="5" bestFit="1" customWidth="1"/>
    <col min="2956" max="2956" width="9.140625" style="5"/>
    <col min="2957" max="2957" width="11.7109375" style="5" customWidth="1"/>
    <col min="2958" max="2958" width="10.28515625" style="5" bestFit="1" customWidth="1"/>
    <col min="2959" max="2959" width="9.140625" style="5"/>
    <col min="2960" max="2960" width="11" style="5" bestFit="1" customWidth="1"/>
    <col min="2961" max="2961" width="10" style="5" bestFit="1" customWidth="1"/>
    <col min="2962" max="2962" width="10.28515625" style="5" bestFit="1" customWidth="1"/>
    <col min="2963" max="2963" width="9.28515625" style="5" bestFit="1" customWidth="1"/>
    <col min="2964" max="2964" width="11.28515625" style="5" bestFit="1" customWidth="1"/>
    <col min="2965" max="2965" width="9.42578125" style="5" bestFit="1" customWidth="1"/>
    <col min="2966" max="2966" width="8.140625" style="5" bestFit="1" customWidth="1"/>
    <col min="2967" max="2967" width="10" style="5" bestFit="1" customWidth="1"/>
    <col min="2968" max="2968" width="10.28515625" style="5" bestFit="1" customWidth="1"/>
    <col min="2969" max="2969" width="8.7109375" style="5" customWidth="1"/>
    <col min="2970" max="2970" width="10.28515625" style="5" bestFit="1" customWidth="1"/>
    <col min="2971" max="2971" width="11.28515625" style="5" bestFit="1" customWidth="1"/>
    <col min="2972" max="2972" width="10.85546875" style="5" bestFit="1" customWidth="1"/>
    <col min="2973" max="2973" width="9.85546875" style="5" bestFit="1" customWidth="1"/>
    <col min="2974" max="2975" width="9.140625" style="5"/>
    <col min="2976" max="2976" width="9.85546875" style="5" bestFit="1" customWidth="1"/>
    <col min="2977" max="2980" width="9.140625" style="5"/>
    <col min="2981" max="2981" width="13.5703125" style="5" bestFit="1" customWidth="1"/>
    <col min="2982" max="2982" width="10.28515625" style="5" bestFit="1" customWidth="1"/>
    <col min="2983" max="3097" width="9.140625" style="5"/>
    <col min="3098" max="3098" width="3.7109375" style="5" customWidth="1"/>
    <col min="3099" max="3099" width="26.5703125" style="5" customWidth="1"/>
    <col min="3100" max="3101" width="13.7109375" style="5" customWidth="1"/>
    <col min="3102" max="3102" width="11.42578125" style="5" customWidth="1"/>
    <col min="3103" max="3103" width="13.42578125" style="5" customWidth="1"/>
    <col min="3104" max="3104" width="11.140625" style="5" customWidth="1"/>
    <col min="3105" max="3105" width="10.28515625" style="5" customWidth="1"/>
    <col min="3106" max="3106" width="9.42578125" style="5" customWidth="1"/>
    <col min="3107" max="3107" width="8.140625" style="5" customWidth="1"/>
    <col min="3108" max="3108" width="11.42578125" style="5" customWidth="1"/>
    <col min="3109" max="3109" width="7.7109375" style="5" customWidth="1"/>
    <col min="3110" max="3110" width="9" style="5" customWidth="1"/>
    <col min="3111" max="3112" width="9.140625" style="5" customWidth="1"/>
    <col min="3113" max="3117" width="9.140625" style="5"/>
    <col min="3118" max="3118" width="9" style="5" customWidth="1"/>
    <col min="3119" max="3119" width="9.140625" style="5"/>
    <col min="3120" max="3120" width="15.140625" style="5" customWidth="1"/>
    <col min="3121" max="3129" width="9.140625" style="5"/>
    <col min="3130" max="3130" width="10.5703125" style="5" customWidth="1"/>
    <col min="3131" max="3135" width="9.140625" style="5"/>
    <col min="3136" max="3136" width="9" style="5" bestFit="1" customWidth="1"/>
    <col min="3137" max="3137" width="12.140625" style="5" customWidth="1"/>
    <col min="3138" max="3138" width="13.28515625" style="5" customWidth="1"/>
    <col min="3139" max="3139" width="9.140625" style="5"/>
    <col min="3140" max="3140" width="13.140625" style="5" customWidth="1"/>
    <col min="3141" max="3141" width="11.5703125" style="5" customWidth="1"/>
    <col min="3142" max="3142" width="15.42578125" style="5" bestFit="1" customWidth="1"/>
    <col min="3143" max="3160" width="9.140625" style="5"/>
    <col min="3161" max="3163" width="11.140625" style="5" customWidth="1"/>
    <col min="3164" max="3164" width="14.85546875" style="5" bestFit="1" customWidth="1"/>
    <col min="3165" max="3170" width="14.85546875" style="5" customWidth="1"/>
    <col min="3171" max="3174" width="11.140625" style="5" customWidth="1"/>
    <col min="3175" max="3175" width="11" style="5" customWidth="1"/>
    <col min="3176" max="3176" width="13.28515625" style="5" customWidth="1"/>
    <col min="3177" max="3177" width="12.42578125" style="5" customWidth="1"/>
    <col min="3178" max="3186" width="14.85546875" style="5" customWidth="1"/>
    <col min="3187" max="3187" width="13.140625" style="5" customWidth="1"/>
    <col min="3188" max="3188" width="13.7109375" style="5" customWidth="1"/>
    <col min="3189" max="3191" width="13.28515625" style="5" customWidth="1"/>
    <col min="3192" max="3192" width="15.7109375" style="5" customWidth="1"/>
    <col min="3193" max="3193" width="9.140625" style="5"/>
    <col min="3194" max="3194" width="10.28515625" style="5" bestFit="1" customWidth="1"/>
    <col min="3195" max="3195" width="11.5703125" style="5" bestFit="1" customWidth="1"/>
    <col min="3196" max="3196" width="9.140625" style="5" customWidth="1"/>
    <col min="3197" max="3197" width="10.42578125" style="5" customWidth="1"/>
    <col min="3198" max="3199" width="15.85546875" style="5" customWidth="1"/>
    <col min="3200" max="3201" width="16.85546875" style="5" customWidth="1"/>
    <col min="3202" max="3202" width="14.42578125" style="5" customWidth="1"/>
    <col min="3203" max="3204" width="14.28515625" style="5" customWidth="1"/>
    <col min="3205" max="3205" width="14.7109375" style="5" customWidth="1"/>
    <col min="3206" max="3206" width="15.7109375" style="5" customWidth="1"/>
    <col min="3207" max="3207" width="9.140625" style="5"/>
    <col min="3208" max="3208" width="10.28515625" style="5" bestFit="1" customWidth="1"/>
    <col min="3209" max="3209" width="9.140625" style="5"/>
    <col min="3210" max="3210" width="11.5703125" style="5" bestFit="1" customWidth="1"/>
    <col min="3211" max="3211" width="9.28515625" style="5" bestFit="1" customWidth="1"/>
    <col min="3212" max="3212" width="9.140625" style="5"/>
    <col min="3213" max="3213" width="11.7109375" style="5" customWidth="1"/>
    <col min="3214" max="3214" width="10.28515625" style="5" bestFit="1" customWidth="1"/>
    <col min="3215" max="3215" width="9.140625" style="5"/>
    <col min="3216" max="3216" width="11" style="5" bestFit="1" customWidth="1"/>
    <col min="3217" max="3217" width="10" style="5" bestFit="1" customWidth="1"/>
    <col min="3218" max="3218" width="10.28515625" style="5" bestFit="1" customWidth="1"/>
    <col min="3219" max="3219" width="9.28515625" style="5" bestFit="1" customWidth="1"/>
    <col min="3220" max="3220" width="11.28515625" style="5" bestFit="1" customWidth="1"/>
    <col min="3221" max="3221" width="9.42578125" style="5" bestFit="1" customWidth="1"/>
    <col min="3222" max="3222" width="8.140625" style="5" bestFit="1" customWidth="1"/>
    <col min="3223" max="3223" width="10" style="5" bestFit="1" customWidth="1"/>
    <col min="3224" max="3224" width="10.28515625" style="5" bestFit="1" customWidth="1"/>
    <col min="3225" max="3225" width="8.7109375" style="5" customWidth="1"/>
    <col min="3226" max="3226" width="10.28515625" style="5" bestFit="1" customWidth="1"/>
    <col min="3227" max="3227" width="11.28515625" style="5" bestFit="1" customWidth="1"/>
    <col min="3228" max="3228" width="10.85546875" style="5" bestFit="1" customWidth="1"/>
    <col min="3229" max="3229" width="9.85546875" style="5" bestFit="1" customWidth="1"/>
    <col min="3230" max="3231" width="9.140625" style="5"/>
    <col min="3232" max="3232" width="9.85546875" style="5" bestFit="1" customWidth="1"/>
    <col min="3233" max="3236" width="9.140625" style="5"/>
    <col min="3237" max="3237" width="13.5703125" style="5" bestFit="1" customWidth="1"/>
    <col min="3238" max="3238" width="10.28515625" style="5" bestFit="1" customWidth="1"/>
    <col min="3239" max="3353" width="9.140625" style="5"/>
    <col min="3354" max="3354" width="3.7109375" style="5" customWidth="1"/>
    <col min="3355" max="3355" width="26.5703125" style="5" customWidth="1"/>
    <col min="3356" max="3357" width="13.7109375" style="5" customWidth="1"/>
    <col min="3358" max="3358" width="11.42578125" style="5" customWidth="1"/>
    <col min="3359" max="3359" width="13.42578125" style="5" customWidth="1"/>
    <col min="3360" max="3360" width="11.140625" style="5" customWidth="1"/>
    <col min="3361" max="3361" width="10.28515625" style="5" customWidth="1"/>
    <col min="3362" max="3362" width="9.42578125" style="5" customWidth="1"/>
    <col min="3363" max="3363" width="8.140625" style="5" customWidth="1"/>
    <col min="3364" max="3364" width="11.42578125" style="5" customWidth="1"/>
    <col min="3365" max="3365" width="7.7109375" style="5" customWidth="1"/>
    <col min="3366" max="3366" width="9" style="5" customWidth="1"/>
    <col min="3367" max="3368" width="9.140625" style="5" customWidth="1"/>
    <col min="3369" max="3373" width="9.140625" style="5"/>
    <col min="3374" max="3374" width="9" style="5" customWidth="1"/>
    <col min="3375" max="3375" width="9.140625" style="5"/>
    <col min="3376" max="3376" width="15.140625" style="5" customWidth="1"/>
    <col min="3377" max="3385" width="9.140625" style="5"/>
    <col min="3386" max="3386" width="10.5703125" style="5" customWidth="1"/>
    <col min="3387" max="3391" width="9.140625" style="5"/>
    <col min="3392" max="3392" width="9" style="5" bestFit="1" customWidth="1"/>
    <col min="3393" max="3393" width="12.140625" style="5" customWidth="1"/>
    <col min="3394" max="3394" width="13.28515625" style="5" customWidth="1"/>
    <col min="3395" max="3395" width="9.140625" style="5"/>
    <col min="3396" max="3396" width="13.140625" style="5" customWidth="1"/>
    <col min="3397" max="3397" width="11.5703125" style="5" customWidth="1"/>
    <col min="3398" max="3398" width="15.42578125" style="5" bestFit="1" customWidth="1"/>
    <col min="3399" max="3416" width="9.140625" style="5"/>
    <col min="3417" max="3419" width="11.140625" style="5" customWidth="1"/>
    <col min="3420" max="3420" width="14.85546875" style="5" bestFit="1" customWidth="1"/>
    <col min="3421" max="3426" width="14.85546875" style="5" customWidth="1"/>
    <col min="3427" max="3430" width="11.140625" style="5" customWidth="1"/>
    <col min="3431" max="3431" width="11" style="5" customWidth="1"/>
    <col min="3432" max="3432" width="13.28515625" style="5" customWidth="1"/>
    <col min="3433" max="3433" width="12.42578125" style="5" customWidth="1"/>
    <col min="3434" max="3442" width="14.85546875" style="5" customWidth="1"/>
    <col min="3443" max="3443" width="13.140625" style="5" customWidth="1"/>
    <col min="3444" max="3444" width="13.7109375" style="5" customWidth="1"/>
    <col min="3445" max="3447" width="13.28515625" style="5" customWidth="1"/>
    <col min="3448" max="3448" width="15.7109375" style="5" customWidth="1"/>
    <col min="3449" max="3449" width="9.140625" style="5"/>
    <col min="3450" max="3450" width="10.28515625" style="5" bestFit="1" customWidth="1"/>
    <col min="3451" max="3451" width="11.5703125" style="5" bestFit="1" customWidth="1"/>
    <col min="3452" max="3452" width="9.140625" style="5" customWidth="1"/>
    <col min="3453" max="3453" width="10.42578125" style="5" customWidth="1"/>
    <col min="3454" max="3455" width="15.85546875" style="5" customWidth="1"/>
    <col min="3456" max="3457" width="16.85546875" style="5" customWidth="1"/>
    <col min="3458" max="3458" width="14.42578125" style="5" customWidth="1"/>
    <col min="3459" max="3460" width="14.28515625" style="5" customWidth="1"/>
    <col min="3461" max="3461" width="14.7109375" style="5" customWidth="1"/>
    <col min="3462" max="3462" width="15.7109375" style="5" customWidth="1"/>
    <col min="3463" max="3463" width="9.140625" style="5"/>
    <col min="3464" max="3464" width="10.28515625" style="5" bestFit="1" customWidth="1"/>
    <col min="3465" max="3465" width="9.140625" style="5"/>
    <col min="3466" max="3466" width="11.5703125" style="5" bestFit="1" customWidth="1"/>
    <col min="3467" max="3467" width="9.28515625" style="5" bestFit="1" customWidth="1"/>
    <col min="3468" max="3468" width="9.140625" style="5"/>
    <col min="3469" max="3469" width="11.7109375" style="5" customWidth="1"/>
    <col min="3470" max="3470" width="10.28515625" style="5" bestFit="1" customWidth="1"/>
    <col min="3471" max="3471" width="9.140625" style="5"/>
    <col min="3472" max="3472" width="11" style="5" bestFit="1" customWidth="1"/>
    <col min="3473" max="3473" width="10" style="5" bestFit="1" customWidth="1"/>
    <col min="3474" max="3474" width="10.28515625" style="5" bestFit="1" customWidth="1"/>
    <col min="3475" max="3475" width="9.28515625" style="5" bestFit="1" customWidth="1"/>
    <col min="3476" max="3476" width="11.28515625" style="5" bestFit="1" customWidth="1"/>
    <col min="3477" max="3477" width="9.42578125" style="5" bestFit="1" customWidth="1"/>
    <col min="3478" max="3478" width="8.140625" style="5" bestFit="1" customWidth="1"/>
    <col min="3479" max="3479" width="10" style="5" bestFit="1" customWidth="1"/>
    <col min="3480" max="3480" width="10.28515625" style="5" bestFit="1" customWidth="1"/>
    <col min="3481" max="3481" width="8.7109375" style="5" customWidth="1"/>
    <col min="3482" max="3482" width="10.28515625" style="5" bestFit="1" customWidth="1"/>
    <col min="3483" max="3483" width="11.28515625" style="5" bestFit="1" customWidth="1"/>
    <col min="3484" max="3484" width="10.85546875" style="5" bestFit="1" customWidth="1"/>
    <col min="3485" max="3485" width="9.85546875" style="5" bestFit="1" customWidth="1"/>
    <col min="3486" max="3487" width="9.140625" style="5"/>
    <col min="3488" max="3488" width="9.85546875" style="5" bestFit="1" customWidth="1"/>
    <col min="3489" max="3492" width="9.140625" style="5"/>
    <col min="3493" max="3493" width="13.5703125" style="5" bestFit="1" customWidth="1"/>
    <col min="3494" max="3494" width="10.28515625" style="5" bestFit="1" customWidth="1"/>
    <col min="3495" max="3609" width="9.140625" style="5"/>
    <col min="3610" max="3610" width="3.7109375" style="5" customWidth="1"/>
    <col min="3611" max="3611" width="26.5703125" style="5" customWidth="1"/>
    <col min="3612" max="3613" width="13.7109375" style="5" customWidth="1"/>
    <col min="3614" max="3614" width="11.42578125" style="5" customWidth="1"/>
    <col min="3615" max="3615" width="13.42578125" style="5" customWidth="1"/>
    <col min="3616" max="3616" width="11.140625" style="5" customWidth="1"/>
    <col min="3617" max="3617" width="10.28515625" style="5" customWidth="1"/>
    <col min="3618" max="3618" width="9.42578125" style="5" customWidth="1"/>
    <col min="3619" max="3619" width="8.140625" style="5" customWidth="1"/>
    <col min="3620" max="3620" width="11.42578125" style="5" customWidth="1"/>
    <col min="3621" max="3621" width="7.7109375" style="5" customWidth="1"/>
    <col min="3622" max="3622" width="9" style="5" customWidth="1"/>
    <col min="3623" max="3624" width="9.140625" style="5" customWidth="1"/>
    <col min="3625" max="3629" width="9.140625" style="5"/>
    <col min="3630" max="3630" width="9" style="5" customWidth="1"/>
    <col min="3631" max="3631" width="9.140625" style="5"/>
    <col min="3632" max="3632" width="15.140625" style="5" customWidth="1"/>
    <col min="3633" max="3641" width="9.140625" style="5"/>
    <col min="3642" max="3642" width="10.5703125" style="5" customWidth="1"/>
    <col min="3643" max="3647" width="9.140625" style="5"/>
    <col min="3648" max="3648" width="9" style="5" bestFit="1" customWidth="1"/>
    <col min="3649" max="3649" width="12.140625" style="5" customWidth="1"/>
    <col min="3650" max="3650" width="13.28515625" style="5" customWidth="1"/>
    <col min="3651" max="3651" width="9.140625" style="5"/>
    <col min="3652" max="3652" width="13.140625" style="5" customWidth="1"/>
    <col min="3653" max="3653" width="11.5703125" style="5" customWidth="1"/>
    <col min="3654" max="3654" width="15.42578125" style="5" bestFit="1" customWidth="1"/>
    <col min="3655" max="3672" width="9.140625" style="5"/>
    <col min="3673" max="3675" width="11.140625" style="5" customWidth="1"/>
    <col min="3676" max="3676" width="14.85546875" style="5" bestFit="1" customWidth="1"/>
    <col min="3677" max="3682" width="14.85546875" style="5" customWidth="1"/>
    <col min="3683" max="3686" width="11.140625" style="5" customWidth="1"/>
    <col min="3687" max="3687" width="11" style="5" customWidth="1"/>
    <col min="3688" max="3688" width="13.28515625" style="5" customWidth="1"/>
    <col min="3689" max="3689" width="12.42578125" style="5" customWidth="1"/>
    <col min="3690" max="3698" width="14.85546875" style="5" customWidth="1"/>
    <col min="3699" max="3699" width="13.140625" style="5" customWidth="1"/>
    <col min="3700" max="3700" width="13.7109375" style="5" customWidth="1"/>
    <col min="3701" max="3703" width="13.28515625" style="5" customWidth="1"/>
    <col min="3704" max="3704" width="15.7109375" style="5" customWidth="1"/>
    <col min="3705" max="3705" width="9.140625" style="5"/>
    <col min="3706" max="3706" width="10.28515625" style="5" bestFit="1" customWidth="1"/>
    <col min="3707" max="3707" width="11.5703125" style="5" bestFit="1" customWidth="1"/>
    <col min="3708" max="3708" width="9.140625" style="5" customWidth="1"/>
    <col min="3709" max="3709" width="10.42578125" style="5" customWidth="1"/>
    <col min="3710" max="3711" width="15.85546875" style="5" customWidth="1"/>
    <col min="3712" max="3713" width="16.85546875" style="5" customWidth="1"/>
    <col min="3714" max="3714" width="14.42578125" style="5" customWidth="1"/>
    <col min="3715" max="3716" width="14.28515625" style="5" customWidth="1"/>
    <col min="3717" max="3717" width="14.7109375" style="5" customWidth="1"/>
    <col min="3718" max="3718" width="15.7109375" style="5" customWidth="1"/>
    <col min="3719" max="3719" width="9.140625" style="5"/>
    <col min="3720" max="3720" width="10.28515625" style="5" bestFit="1" customWidth="1"/>
    <col min="3721" max="3721" width="9.140625" style="5"/>
    <col min="3722" max="3722" width="11.5703125" style="5" bestFit="1" customWidth="1"/>
    <col min="3723" max="3723" width="9.28515625" style="5" bestFit="1" customWidth="1"/>
    <col min="3724" max="3724" width="9.140625" style="5"/>
    <col min="3725" max="3725" width="11.7109375" style="5" customWidth="1"/>
    <col min="3726" max="3726" width="10.28515625" style="5" bestFit="1" customWidth="1"/>
    <col min="3727" max="3727" width="9.140625" style="5"/>
    <col min="3728" max="3728" width="11" style="5" bestFit="1" customWidth="1"/>
    <col min="3729" max="3729" width="10" style="5" bestFit="1" customWidth="1"/>
    <col min="3730" max="3730" width="10.28515625" style="5" bestFit="1" customWidth="1"/>
    <col min="3731" max="3731" width="9.28515625" style="5" bestFit="1" customWidth="1"/>
    <col min="3732" max="3732" width="11.28515625" style="5" bestFit="1" customWidth="1"/>
    <col min="3733" max="3733" width="9.42578125" style="5" bestFit="1" customWidth="1"/>
    <col min="3734" max="3734" width="8.140625" style="5" bestFit="1" customWidth="1"/>
    <col min="3735" max="3735" width="10" style="5" bestFit="1" customWidth="1"/>
    <col min="3736" max="3736" width="10.28515625" style="5" bestFit="1" customWidth="1"/>
    <col min="3737" max="3737" width="8.7109375" style="5" customWidth="1"/>
    <col min="3738" max="3738" width="10.28515625" style="5" bestFit="1" customWidth="1"/>
    <col min="3739" max="3739" width="11.28515625" style="5" bestFit="1" customWidth="1"/>
    <col min="3740" max="3740" width="10.85546875" style="5" bestFit="1" customWidth="1"/>
    <col min="3741" max="3741" width="9.85546875" style="5" bestFit="1" customWidth="1"/>
    <col min="3742" max="3743" width="9.140625" style="5"/>
    <col min="3744" max="3744" width="9.85546875" style="5" bestFit="1" customWidth="1"/>
    <col min="3745" max="3748" width="9.140625" style="5"/>
    <col min="3749" max="3749" width="13.5703125" style="5" bestFit="1" customWidth="1"/>
    <col min="3750" max="3750" width="10.28515625" style="5" bestFit="1" customWidth="1"/>
    <col min="3751" max="3865" width="9.140625" style="5"/>
    <col min="3866" max="3866" width="3.7109375" style="5" customWidth="1"/>
    <col min="3867" max="3867" width="26.5703125" style="5" customWidth="1"/>
    <col min="3868" max="3869" width="13.7109375" style="5" customWidth="1"/>
    <col min="3870" max="3870" width="11.42578125" style="5" customWidth="1"/>
    <col min="3871" max="3871" width="13.42578125" style="5" customWidth="1"/>
    <col min="3872" max="3872" width="11.140625" style="5" customWidth="1"/>
    <col min="3873" max="3873" width="10.28515625" style="5" customWidth="1"/>
    <col min="3874" max="3874" width="9.42578125" style="5" customWidth="1"/>
    <col min="3875" max="3875" width="8.140625" style="5" customWidth="1"/>
    <col min="3876" max="3876" width="11.42578125" style="5" customWidth="1"/>
    <col min="3877" max="3877" width="7.7109375" style="5" customWidth="1"/>
    <col min="3878" max="3878" width="9" style="5" customWidth="1"/>
    <col min="3879" max="3880" width="9.140625" style="5" customWidth="1"/>
    <col min="3881" max="3885" width="9.140625" style="5"/>
    <col min="3886" max="3886" width="9" style="5" customWidth="1"/>
    <col min="3887" max="3887" width="9.140625" style="5"/>
    <col min="3888" max="3888" width="15.140625" style="5" customWidth="1"/>
    <col min="3889" max="3897" width="9.140625" style="5"/>
    <col min="3898" max="3898" width="10.5703125" style="5" customWidth="1"/>
    <col min="3899" max="3903" width="9.140625" style="5"/>
    <col min="3904" max="3904" width="9" style="5" bestFit="1" customWidth="1"/>
    <col min="3905" max="3905" width="12.140625" style="5" customWidth="1"/>
    <col min="3906" max="3906" width="13.28515625" style="5" customWidth="1"/>
    <col min="3907" max="3907" width="9.140625" style="5"/>
    <col min="3908" max="3908" width="13.140625" style="5" customWidth="1"/>
    <col min="3909" max="3909" width="11.5703125" style="5" customWidth="1"/>
    <col min="3910" max="3910" width="15.42578125" style="5" bestFit="1" customWidth="1"/>
    <col min="3911" max="3928" width="9.140625" style="5"/>
    <col min="3929" max="3931" width="11.140625" style="5" customWidth="1"/>
    <col min="3932" max="3932" width="14.85546875" style="5" bestFit="1" customWidth="1"/>
    <col min="3933" max="3938" width="14.85546875" style="5" customWidth="1"/>
    <col min="3939" max="3942" width="11.140625" style="5" customWidth="1"/>
    <col min="3943" max="3943" width="11" style="5" customWidth="1"/>
    <col min="3944" max="3944" width="13.28515625" style="5" customWidth="1"/>
    <col min="3945" max="3945" width="12.42578125" style="5" customWidth="1"/>
    <col min="3946" max="3954" width="14.85546875" style="5" customWidth="1"/>
    <col min="3955" max="3955" width="13.140625" style="5" customWidth="1"/>
    <col min="3956" max="3956" width="13.7109375" style="5" customWidth="1"/>
    <col min="3957" max="3959" width="13.28515625" style="5" customWidth="1"/>
    <col min="3960" max="3960" width="15.7109375" style="5" customWidth="1"/>
    <col min="3961" max="3961" width="9.140625" style="5"/>
    <col min="3962" max="3962" width="10.28515625" style="5" bestFit="1" customWidth="1"/>
    <col min="3963" max="3963" width="11.5703125" style="5" bestFit="1" customWidth="1"/>
    <col min="3964" max="3964" width="9.140625" style="5" customWidth="1"/>
    <col min="3965" max="3965" width="10.42578125" style="5" customWidth="1"/>
    <col min="3966" max="3967" width="15.85546875" style="5" customWidth="1"/>
    <col min="3968" max="3969" width="16.85546875" style="5" customWidth="1"/>
    <col min="3970" max="3970" width="14.42578125" style="5" customWidth="1"/>
    <col min="3971" max="3972" width="14.28515625" style="5" customWidth="1"/>
    <col min="3973" max="3973" width="14.7109375" style="5" customWidth="1"/>
    <col min="3974" max="3974" width="15.7109375" style="5" customWidth="1"/>
    <col min="3975" max="3975" width="9.140625" style="5"/>
    <col min="3976" max="3976" width="10.28515625" style="5" bestFit="1" customWidth="1"/>
    <col min="3977" max="3977" width="9.140625" style="5"/>
    <col min="3978" max="3978" width="11.5703125" style="5" bestFit="1" customWidth="1"/>
    <col min="3979" max="3979" width="9.28515625" style="5" bestFit="1" customWidth="1"/>
    <col min="3980" max="3980" width="9.140625" style="5"/>
    <col min="3981" max="3981" width="11.7109375" style="5" customWidth="1"/>
    <col min="3982" max="3982" width="10.28515625" style="5" bestFit="1" customWidth="1"/>
    <col min="3983" max="3983" width="9.140625" style="5"/>
    <col min="3984" max="3984" width="11" style="5" bestFit="1" customWidth="1"/>
    <col min="3985" max="3985" width="10" style="5" bestFit="1" customWidth="1"/>
    <col min="3986" max="3986" width="10.28515625" style="5" bestFit="1" customWidth="1"/>
    <col min="3987" max="3987" width="9.28515625" style="5" bestFit="1" customWidth="1"/>
    <col min="3988" max="3988" width="11.28515625" style="5" bestFit="1" customWidth="1"/>
    <col min="3989" max="3989" width="9.42578125" style="5" bestFit="1" customWidth="1"/>
    <col min="3990" max="3990" width="8.140625" style="5" bestFit="1" customWidth="1"/>
    <col min="3991" max="3991" width="10" style="5" bestFit="1" customWidth="1"/>
    <col min="3992" max="3992" width="10.28515625" style="5" bestFit="1" customWidth="1"/>
    <col min="3993" max="3993" width="8.7109375" style="5" customWidth="1"/>
    <col min="3994" max="3994" width="10.28515625" style="5" bestFit="1" customWidth="1"/>
    <col min="3995" max="3995" width="11.28515625" style="5" bestFit="1" customWidth="1"/>
    <col min="3996" max="3996" width="10.85546875" style="5" bestFit="1" customWidth="1"/>
    <col min="3997" max="3997" width="9.85546875" style="5" bestFit="1" customWidth="1"/>
    <col min="3998" max="3999" width="9.140625" style="5"/>
    <col min="4000" max="4000" width="9.85546875" style="5" bestFit="1" customWidth="1"/>
    <col min="4001" max="4004" width="9.140625" style="5"/>
    <col min="4005" max="4005" width="13.5703125" style="5" bestFit="1" customWidth="1"/>
    <col min="4006" max="4006" width="10.28515625" style="5" bestFit="1" customWidth="1"/>
    <col min="4007" max="4121" width="9.140625" style="5"/>
    <col min="4122" max="4122" width="3.7109375" style="5" customWidth="1"/>
    <col min="4123" max="4123" width="26.5703125" style="5" customWidth="1"/>
    <col min="4124" max="4125" width="13.7109375" style="5" customWidth="1"/>
    <col min="4126" max="4126" width="11.42578125" style="5" customWidth="1"/>
    <col min="4127" max="4127" width="13.42578125" style="5" customWidth="1"/>
    <col min="4128" max="4128" width="11.140625" style="5" customWidth="1"/>
    <col min="4129" max="4129" width="10.28515625" style="5" customWidth="1"/>
    <col min="4130" max="4130" width="9.42578125" style="5" customWidth="1"/>
    <col min="4131" max="4131" width="8.140625" style="5" customWidth="1"/>
    <col min="4132" max="4132" width="11.42578125" style="5" customWidth="1"/>
    <col min="4133" max="4133" width="7.7109375" style="5" customWidth="1"/>
    <col min="4134" max="4134" width="9" style="5" customWidth="1"/>
    <col min="4135" max="4136" width="9.140625" style="5" customWidth="1"/>
    <col min="4137" max="4141" width="9.140625" style="5"/>
    <col min="4142" max="4142" width="9" style="5" customWidth="1"/>
    <col min="4143" max="4143" width="9.140625" style="5"/>
    <col min="4144" max="4144" width="15.140625" style="5" customWidth="1"/>
    <col min="4145" max="4153" width="9.140625" style="5"/>
    <col min="4154" max="4154" width="10.5703125" style="5" customWidth="1"/>
    <col min="4155" max="4159" width="9.140625" style="5"/>
    <col min="4160" max="4160" width="9" style="5" bestFit="1" customWidth="1"/>
    <col min="4161" max="4161" width="12.140625" style="5" customWidth="1"/>
    <col min="4162" max="4162" width="13.28515625" style="5" customWidth="1"/>
    <col min="4163" max="4163" width="9.140625" style="5"/>
    <col min="4164" max="4164" width="13.140625" style="5" customWidth="1"/>
    <col min="4165" max="4165" width="11.5703125" style="5" customWidth="1"/>
    <col min="4166" max="4166" width="15.42578125" style="5" bestFit="1" customWidth="1"/>
    <col min="4167" max="4184" width="9.140625" style="5"/>
    <col min="4185" max="4187" width="11.140625" style="5" customWidth="1"/>
    <col min="4188" max="4188" width="14.85546875" style="5" bestFit="1" customWidth="1"/>
    <col min="4189" max="4194" width="14.85546875" style="5" customWidth="1"/>
    <col min="4195" max="4198" width="11.140625" style="5" customWidth="1"/>
    <col min="4199" max="4199" width="11" style="5" customWidth="1"/>
    <col min="4200" max="4200" width="13.28515625" style="5" customWidth="1"/>
    <col min="4201" max="4201" width="12.42578125" style="5" customWidth="1"/>
    <col min="4202" max="4210" width="14.85546875" style="5" customWidth="1"/>
    <col min="4211" max="4211" width="13.140625" style="5" customWidth="1"/>
    <col min="4212" max="4212" width="13.7109375" style="5" customWidth="1"/>
    <col min="4213" max="4215" width="13.28515625" style="5" customWidth="1"/>
    <col min="4216" max="4216" width="15.7109375" style="5" customWidth="1"/>
    <col min="4217" max="4217" width="9.140625" style="5"/>
    <col min="4218" max="4218" width="10.28515625" style="5" bestFit="1" customWidth="1"/>
    <col min="4219" max="4219" width="11.5703125" style="5" bestFit="1" customWidth="1"/>
    <col min="4220" max="4220" width="9.140625" style="5" customWidth="1"/>
    <col min="4221" max="4221" width="10.42578125" style="5" customWidth="1"/>
    <col min="4222" max="4223" width="15.85546875" style="5" customWidth="1"/>
    <col min="4224" max="4225" width="16.85546875" style="5" customWidth="1"/>
    <col min="4226" max="4226" width="14.42578125" style="5" customWidth="1"/>
    <col min="4227" max="4228" width="14.28515625" style="5" customWidth="1"/>
    <col min="4229" max="4229" width="14.7109375" style="5" customWidth="1"/>
    <col min="4230" max="4230" width="15.7109375" style="5" customWidth="1"/>
    <col min="4231" max="4231" width="9.140625" style="5"/>
    <col min="4232" max="4232" width="10.28515625" style="5" bestFit="1" customWidth="1"/>
    <col min="4233" max="4233" width="9.140625" style="5"/>
    <col min="4234" max="4234" width="11.5703125" style="5" bestFit="1" customWidth="1"/>
    <col min="4235" max="4235" width="9.28515625" style="5" bestFit="1" customWidth="1"/>
    <col min="4236" max="4236" width="9.140625" style="5"/>
    <col min="4237" max="4237" width="11.7109375" style="5" customWidth="1"/>
    <col min="4238" max="4238" width="10.28515625" style="5" bestFit="1" customWidth="1"/>
    <col min="4239" max="4239" width="9.140625" style="5"/>
    <col min="4240" max="4240" width="11" style="5" bestFit="1" customWidth="1"/>
    <col min="4241" max="4241" width="10" style="5" bestFit="1" customWidth="1"/>
    <col min="4242" max="4242" width="10.28515625" style="5" bestFit="1" customWidth="1"/>
    <col min="4243" max="4243" width="9.28515625" style="5" bestFit="1" customWidth="1"/>
    <col min="4244" max="4244" width="11.28515625" style="5" bestFit="1" customWidth="1"/>
    <col min="4245" max="4245" width="9.42578125" style="5" bestFit="1" customWidth="1"/>
    <col min="4246" max="4246" width="8.140625" style="5" bestFit="1" customWidth="1"/>
    <col min="4247" max="4247" width="10" style="5" bestFit="1" customWidth="1"/>
    <col min="4248" max="4248" width="10.28515625" style="5" bestFit="1" customWidth="1"/>
    <col min="4249" max="4249" width="8.7109375" style="5" customWidth="1"/>
    <col min="4250" max="4250" width="10.28515625" style="5" bestFit="1" customWidth="1"/>
    <col min="4251" max="4251" width="11.28515625" style="5" bestFit="1" customWidth="1"/>
    <col min="4252" max="4252" width="10.85546875" style="5" bestFit="1" customWidth="1"/>
    <col min="4253" max="4253" width="9.85546875" style="5" bestFit="1" customWidth="1"/>
    <col min="4254" max="4255" width="9.140625" style="5"/>
    <col min="4256" max="4256" width="9.85546875" style="5" bestFit="1" customWidth="1"/>
    <col min="4257" max="4260" width="9.140625" style="5"/>
    <col min="4261" max="4261" width="13.5703125" style="5" bestFit="1" customWidth="1"/>
    <col min="4262" max="4262" width="10.28515625" style="5" bestFit="1" customWidth="1"/>
    <col min="4263" max="4377" width="9.140625" style="5"/>
    <col min="4378" max="4378" width="3.7109375" style="5" customWidth="1"/>
    <col min="4379" max="4379" width="26.5703125" style="5" customWidth="1"/>
    <col min="4380" max="4381" width="13.7109375" style="5" customWidth="1"/>
    <col min="4382" max="4382" width="11.42578125" style="5" customWidth="1"/>
    <col min="4383" max="4383" width="13.42578125" style="5" customWidth="1"/>
    <col min="4384" max="4384" width="11.140625" style="5" customWidth="1"/>
    <col min="4385" max="4385" width="10.28515625" style="5" customWidth="1"/>
    <col min="4386" max="4386" width="9.42578125" style="5" customWidth="1"/>
    <col min="4387" max="4387" width="8.140625" style="5" customWidth="1"/>
    <col min="4388" max="4388" width="11.42578125" style="5" customWidth="1"/>
    <col min="4389" max="4389" width="7.7109375" style="5" customWidth="1"/>
    <col min="4390" max="4390" width="9" style="5" customWidth="1"/>
    <col min="4391" max="4392" width="9.140625" style="5" customWidth="1"/>
    <col min="4393" max="4397" width="9.140625" style="5"/>
    <col min="4398" max="4398" width="9" style="5" customWidth="1"/>
    <col min="4399" max="4399" width="9.140625" style="5"/>
    <col min="4400" max="4400" width="15.140625" style="5" customWidth="1"/>
    <col min="4401" max="4409" width="9.140625" style="5"/>
    <col min="4410" max="4410" width="10.5703125" style="5" customWidth="1"/>
    <col min="4411" max="4415" width="9.140625" style="5"/>
    <col min="4416" max="4416" width="9" style="5" bestFit="1" customWidth="1"/>
    <col min="4417" max="4417" width="12.140625" style="5" customWidth="1"/>
    <col min="4418" max="4418" width="13.28515625" style="5" customWidth="1"/>
    <col min="4419" max="4419" width="9.140625" style="5"/>
    <col min="4420" max="4420" width="13.140625" style="5" customWidth="1"/>
    <col min="4421" max="4421" width="11.5703125" style="5" customWidth="1"/>
    <col min="4422" max="4422" width="15.42578125" style="5" bestFit="1" customWidth="1"/>
    <col min="4423" max="4440" width="9.140625" style="5"/>
    <col min="4441" max="4443" width="11.140625" style="5" customWidth="1"/>
    <col min="4444" max="4444" width="14.85546875" style="5" bestFit="1" customWidth="1"/>
    <col min="4445" max="4450" width="14.85546875" style="5" customWidth="1"/>
    <col min="4451" max="4454" width="11.140625" style="5" customWidth="1"/>
    <col min="4455" max="4455" width="11" style="5" customWidth="1"/>
    <col min="4456" max="4456" width="13.28515625" style="5" customWidth="1"/>
    <col min="4457" max="4457" width="12.42578125" style="5" customWidth="1"/>
    <col min="4458" max="4466" width="14.85546875" style="5" customWidth="1"/>
    <col min="4467" max="4467" width="13.140625" style="5" customWidth="1"/>
    <col min="4468" max="4468" width="13.7109375" style="5" customWidth="1"/>
    <col min="4469" max="4471" width="13.28515625" style="5" customWidth="1"/>
    <col min="4472" max="4472" width="15.7109375" style="5" customWidth="1"/>
    <col min="4473" max="4473" width="9.140625" style="5"/>
    <col min="4474" max="4474" width="10.28515625" style="5" bestFit="1" customWidth="1"/>
    <col min="4475" max="4475" width="11.5703125" style="5" bestFit="1" customWidth="1"/>
    <col min="4476" max="4476" width="9.140625" style="5" customWidth="1"/>
    <col min="4477" max="4477" width="10.42578125" style="5" customWidth="1"/>
    <col min="4478" max="4479" width="15.85546875" style="5" customWidth="1"/>
    <col min="4480" max="4481" width="16.85546875" style="5" customWidth="1"/>
    <col min="4482" max="4482" width="14.42578125" style="5" customWidth="1"/>
    <col min="4483" max="4484" width="14.28515625" style="5" customWidth="1"/>
    <col min="4485" max="4485" width="14.7109375" style="5" customWidth="1"/>
    <col min="4486" max="4486" width="15.7109375" style="5" customWidth="1"/>
    <col min="4487" max="4487" width="9.140625" style="5"/>
    <col min="4488" max="4488" width="10.28515625" style="5" bestFit="1" customWidth="1"/>
    <col min="4489" max="4489" width="9.140625" style="5"/>
    <col min="4490" max="4490" width="11.5703125" style="5" bestFit="1" customWidth="1"/>
    <col min="4491" max="4491" width="9.28515625" style="5" bestFit="1" customWidth="1"/>
    <col min="4492" max="4492" width="9.140625" style="5"/>
    <col min="4493" max="4493" width="11.7109375" style="5" customWidth="1"/>
    <col min="4494" max="4494" width="10.28515625" style="5" bestFit="1" customWidth="1"/>
    <col min="4495" max="4495" width="9.140625" style="5"/>
    <col min="4496" max="4496" width="11" style="5" bestFit="1" customWidth="1"/>
    <col min="4497" max="4497" width="10" style="5" bestFit="1" customWidth="1"/>
    <col min="4498" max="4498" width="10.28515625" style="5" bestFit="1" customWidth="1"/>
    <col min="4499" max="4499" width="9.28515625" style="5" bestFit="1" customWidth="1"/>
    <col min="4500" max="4500" width="11.28515625" style="5" bestFit="1" customWidth="1"/>
    <col min="4501" max="4501" width="9.42578125" style="5" bestFit="1" customWidth="1"/>
    <col min="4502" max="4502" width="8.140625" style="5" bestFit="1" customWidth="1"/>
    <col min="4503" max="4503" width="10" style="5" bestFit="1" customWidth="1"/>
    <col min="4504" max="4504" width="10.28515625" style="5" bestFit="1" customWidth="1"/>
    <col min="4505" max="4505" width="8.7109375" style="5" customWidth="1"/>
    <col min="4506" max="4506" width="10.28515625" style="5" bestFit="1" customWidth="1"/>
    <col min="4507" max="4507" width="11.28515625" style="5" bestFit="1" customWidth="1"/>
    <col min="4508" max="4508" width="10.85546875" style="5" bestFit="1" customWidth="1"/>
    <col min="4509" max="4509" width="9.85546875" style="5" bestFit="1" customWidth="1"/>
    <col min="4510" max="4511" width="9.140625" style="5"/>
    <col min="4512" max="4512" width="9.85546875" style="5" bestFit="1" customWidth="1"/>
    <col min="4513" max="4516" width="9.140625" style="5"/>
    <col min="4517" max="4517" width="13.5703125" style="5" bestFit="1" customWidth="1"/>
    <col min="4518" max="4518" width="10.28515625" style="5" bestFit="1" customWidth="1"/>
    <col min="4519" max="4633" width="9.140625" style="5"/>
    <col min="4634" max="4634" width="3.7109375" style="5" customWidth="1"/>
    <col min="4635" max="4635" width="26.5703125" style="5" customWidth="1"/>
    <col min="4636" max="4637" width="13.7109375" style="5" customWidth="1"/>
    <col min="4638" max="4638" width="11.42578125" style="5" customWidth="1"/>
    <col min="4639" max="4639" width="13.42578125" style="5" customWidth="1"/>
    <col min="4640" max="4640" width="11.140625" style="5" customWidth="1"/>
    <col min="4641" max="4641" width="10.28515625" style="5" customWidth="1"/>
    <col min="4642" max="4642" width="9.42578125" style="5" customWidth="1"/>
    <col min="4643" max="4643" width="8.140625" style="5" customWidth="1"/>
    <col min="4644" max="4644" width="11.42578125" style="5" customWidth="1"/>
    <col min="4645" max="4645" width="7.7109375" style="5" customWidth="1"/>
    <col min="4646" max="4646" width="9" style="5" customWidth="1"/>
    <col min="4647" max="4648" width="9.140625" style="5" customWidth="1"/>
    <col min="4649" max="4653" width="9.140625" style="5"/>
    <col min="4654" max="4654" width="9" style="5" customWidth="1"/>
    <col min="4655" max="4655" width="9.140625" style="5"/>
    <col min="4656" max="4656" width="15.140625" style="5" customWidth="1"/>
    <col min="4657" max="4665" width="9.140625" style="5"/>
    <col min="4666" max="4666" width="10.5703125" style="5" customWidth="1"/>
    <col min="4667" max="4671" width="9.140625" style="5"/>
    <col min="4672" max="4672" width="9" style="5" bestFit="1" customWidth="1"/>
    <col min="4673" max="4673" width="12.140625" style="5" customWidth="1"/>
    <col min="4674" max="4674" width="13.28515625" style="5" customWidth="1"/>
    <col min="4675" max="4675" width="9.140625" style="5"/>
    <col min="4676" max="4676" width="13.140625" style="5" customWidth="1"/>
    <col min="4677" max="4677" width="11.5703125" style="5" customWidth="1"/>
    <col min="4678" max="4678" width="15.42578125" style="5" bestFit="1" customWidth="1"/>
    <col min="4679" max="4696" width="9.140625" style="5"/>
    <col min="4697" max="4699" width="11.140625" style="5" customWidth="1"/>
    <col min="4700" max="4700" width="14.85546875" style="5" bestFit="1" customWidth="1"/>
    <col min="4701" max="4706" width="14.85546875" style="5" customWidth="1"/>
    <col min="4707" max="4710" width="11.140625" style="5" customWidth="1"/>
    <col min="4711" max="4711" width="11" style="5" customWidth="1"/>
    <col min="4712" max="4712" width="13.28515625" style="5" customWidth="1"/>
    <col min="4713" max="4713" width="12.42578125" style="5" customWidth="1"/>
    <col min="4714" max="4722" width="14.85546875" style="5" customWidth="1"/>
    <col min="4723" max="4723" width="13.140625" style="5" customWidth="1"/>
    <col min="4724" max="4724" width="13.7109375" style="5" customWidth="1"/>
    <col min="4725" max="4727" width="13.28515625" style="5" customWidth="1"/>
    <col min="4728" max="4728" width="15.7109375" style="5" customWidth="1"/>
    <col min="4729" max="4729" width="9.140625" style="5"/>
    <col min="4730" max="4730" width="10.28515625" style="5" bestFit="1" customWidth="1"/>
    <col min="4731" max="4731" width="11.5703125" style="5" bestFit="1" customWidth="1"/>
    <col min="4732" max="4732" width="9.140625" style="5" customWidth="1"/>
    <col min="4733" max="4733" width="10.42578125" style="5" customWidth="1"/>
    <col min="4734" max="4735" width="15.85546875" style="5" customWidth="1"/>
    <col min="4736" max="4737" width="16.85546875" style="5" customWidth="1"/>
    <col min="4738" max="4738" width="14.42578125" style="5" customWidth="1"/>
    <col min="4739" max="4740" width="14.28515625" style="5" customWidth="1"/>
    <col min="4741" max="4741" width="14.7109375" style="5" customWidth="1"/>
    <col min="4742" max="4742" width="15.7109375" style="5" customWidth="1"/>
    <col min="4743" max="4743" width="9.140625" style="5"/>
    <col min="4744" max="4744" width="10.28515625" style="5" bestFit="1" customWidth="1"/>
    <col min="4745" max="4745" width="9.140625" style="5"/>
    <col min="4746" max="4746" width="11.5703125" style="5" bestFit="1" customWidth="1"/>
    <col min="4747" max="4747" width="9.28515625" style="5" bestFit="1" customWidth="1"/>
    <col min="4748" max="4748" width="9.140625" style="5"/>
    <col min="4749" max="4749" width="11.7109375" style="5" customWidth="1"/>
    <col min="4750" max="4750" width="10.28515625" style="5" bestFit="1" customWidth="1"/>
    <col min="4751" max="4751" width="9.140625" style="5"/>
    <col min="4752" max="4752" width="11" style="5" bestFit="1" customWidth="1"/>
    <col min="4753" max="4753" width="10" style="5" bestFit="1" customWidth="1"/>
    <col min="4754" max="4754" width="10.28515625" style="5" bestFit="1" customWidth="1"/>
    <col min="4755" max="4755" width="9.28515625" style="5" bestFit="1" customWidth="1"/>
    <col min="4756" max="4756" width="11.28515625" style="5" bestFit="1" customWidth="1"/>
    <col min="4757" max="4757" width="9.42578125" style="5" bestFit="1" customWidth="1"/>
    <col min="4758" max="4758" width="8.140625" style="5" bestFit="1" customWidth="1"/>
    <col min="4759" max="4759" width="10" style="5" bestFit="1" customWidth="1"/>
    <col min="4760" max="4760" width="10.28515625" style="5" bestFit="1" customWidth="1"/>
    <col min="4761" max="4761" width="8.7109375" style="5" customWidth="1"/>
    <col min="4762" max="4762" width="10.28515625" style="5" bestFit="1" customWidth="1"/>
    <col min="4763" max="4763" width="11.28515625" style="5" bestFit="1" customWidth="1"/>
    <col min="4764" max="4764" width="10.85546875" style="5" bestFit="1" customWidth="1"/>
    <col min="4765" max="4765" width="9.85546875" style="5" bestFit="1" customWidth="1"/>
    <col min="4766" max="4767" width="9.140625" style="5"/>
    <col min="4768" max="4768" width="9.85546875" style="5" bestFit="1" customWidth="1"/>
    <col min="4769" max="4772" width="9.140625" style="5"/>
    <col min="4773" max="4773" width="13.5703125" style="5" bestFit="1" customWidth="1"/>
    <col min="4774" max="4774" width="10.28515625" style="5" bestFit="1" customWidth="1"/>
    <col min="4775" max="4889" width="9.140625" style="5"/>
    <col min="4890" max="4890" width="3.7109375" style="5" customWidth="1"/>
    <col min="4891" max="4891" width="26.5703125" style="5" customWidth="1"/>
    <col min="4892" max="4893" width="13.7109375" style="5" customWidth="1"/>
    <col min="4894" max="4894" width="11.42578125" style="5" customWidth="1"/>
    <col min="4895" max="4895" width="13.42578125" style="5" customWidth="1"/>
    <col min="4896" max="4896" width="11.140625" style="5" customWidth="1"/>
    <col min="4897" max="4897" width="10.28515625" style="5" customWidth="1"/>
    <col min="4898" max="4898" width="9.42578125" style="5" customWidth="1"/>
    <col min="4899" max="4899" width="8.140625" style="5" customWidth="1"/>
    <col min="4900" max="4900" width="11.42578125" style="5" customWidth="1"/>
    <col min="4901" max="4901" width="7.7109375" style="5" customWidth="1"/>
    <col min="4902" max="4902" width="9" style="5" customWidth="1"/>
    <col min="4903" max="4904" width="9.140625" style="5" customWidth="1"/>
    <col min="4905" max="4909" width="9.140625" style="5"/>
    <col min="4910" max="4910" width="9" style="5" customWidth="1"/>
    <col min="4911" max="4911" width="9.140625" style="5"/>
    <col min="4912" max="4912" width="15.140625" style="5" customWidth="1"/>
    <col min="4913" max="4921" width="9.140625" style="5"/>
    <col min="4922" max="4922" width="10.5703125" style="5" customWidth="1"/>
    <col min="4923" max="4927" width="9.140625" style="5"/>
    <col min="4928" max="4928" width="9" style="5" bestFit="1" customWidth="1"/>
    <col min="4929" max="4929" width="12.140625" style="5" customWidth="1"/>
    <col min="4930" max="4930" width="13.28515625" style="5" customWidth="1"/>
    <col min="4931" max="4931" width="9.140625" style="5"/>
    <col min="4932" max="4932" width="13.140625" style="5" customWidth="1"/>
    <col min="4933" max="4933" width="11.5703125" style="5" customWidth="1"/>
    <col min="4934" max="4934" width="15.42578125" style="5" bestFit="1" customWidth="1"/>
    <col min="4935" max="4952" width="9.140625" style="5"/>
    <col min="4953" max="4955" width="11.140625" style="5" customWidth="1"/>
    <col min="4956" max="4956" width="14.85546875" style="5" bestFit="1" customWidth="1"/>
    <col min="4957" max="4962" width="14.85546875" style="5" customWidth="1"/>
    <col min="4963" max="4966" width="11.140625" style="5" customWidth="1"/>
    <col min="4967" max="4967" width="11" style="5" customWidth="1"/>
    <col min="4968" max="4968" width="13.28515625" style="5" customWidth="1"/>
    <col min="4969" max="4969" width="12.42578125" style="5" customWidth="1"/>
    <col min="4970" max="4978" width="14.85546875" style="5" customWidth="1"/>
    <col min="4979" max="4979" width="13.140625" style="5" customWidth="1"/>
    <col min="4980" max="4980" width="13.7109375" style="5" customWidth="1"/>
    <col min="4981" max="4983" width="13.28515625" style="5" customWidth="1"/>
    <col min="4984" max="4984" width="15.7109375" style="5" customWidth="1"/>
    <col min="4985" max="4985" width="9.140625" style="5"/>
    <col min="4986" max="4986" width="10.28515625" style="5" bestFit="1" customWidth="1"/>
    <col min="4987" max="4987" width="11.5703125" style="5" bestFit="1" customWidth="1"/>
    <col min="4988" max="4988" width="9.140625" style="5" customWidth="1"/>
    <col min="4989" max="4989" width="10.42578125" style="5" customWidth="1"/>
    <col min="4990" max="4991" width="15.85546875" style="5" customWidth="1"/>
    <col min="4992" max="4993" width="16.85546875" style="5" customWidth="1"/>
    <col min="4994" max="4994" width="14.42578125" style="5" customWidth="1"/>
    <col min="4995" max="4996" width="14.28515625" style="5" customWidth="1"/>
    <col min="4997" max="4997" width="14.7109375" style="5" customWidth="1"/>
    <col min="4998" max="4998" width="15.7109375" style="5" customWidth="1"/>
    <col min="4999" max="4999" width="9.140625" style="5"/>
    <col min="5000" max="5000" width="10.28515625" style="5" bestFit="1" customWidth="1"/>
    <col min="5001" max="5001" width="9.140625" style="5"/>
    <col min="5002" max="5002" width="11.5703125" style="5" bestFit="1" customWidth="1"/>
    <col min="5003" max="5003" width="9.28515625" style="5" bestFit="1" customWidth="1"/>
    <col min="5004" max="5004" width="9.140625" style="5"/>
    <col min="5005" max="5005" width="11.7109375" style="5" customWidth="1"/>
    <col min="5006" max="5006" width="10.28515625" style="5" bestFit="1" customWidth="1"/>
    <col min="5007" max="5007" width="9.140625" style="5"/>
    <col min="5008" max="5008" width="11" style="5" bestFit="1" customWidth="1"/>
    <col min="5009" max="5009" width="10" style="5" bestFit="1" customWidth="1"/>
    <col min="5010" max="5010" width="10.28515625" style="5" bestFit="1" customWidth="1"/>
    <col min="5011" max="5011" width="9.28515625" style="5" bestFit="1" customWidth="1"/>
    <col min="5012" max="5012" width="11.28515625" style="5" bestFit="1" customWidth="1"/>
    <col min="5013" max="5013" width="9.42578125" style="5" bestFit="1" customWidth="1"/>
    <col min="5014" max="5014" width="8.140625" style="5" bestFit="1" customWidth="1"/>
    <col min="5015" max="5015" width="10" style="5" bestFit="1" customWidth="1"/>
    <col min="5016" max="5016" width="10.28515625" style="5" bestFit="1" customWidth="1"/>
    <col min="5017" max="5017" width="8.7109375" style="5" customWidth="1"/>
    <col min="5018" max="5018" width="10.28515625" style="5" bestFit="1" customWidth="1"/>
    <col min="5019" max="5019" width="11.28515625" style="5" bestFit="1" customWidth="1"/>
    <col min="5020" max="5020" width="10.85546875" style="5" bestFit="1" customWidth="1"/>
    <col min="5021" max="5021" width="9.85546875" style="5" bestFit="1" customWidth="1"/>
    <col min="5022" max="5023" width="9.140625" style="5"/>
    <col min="5024" max="5024" width="9.85546875" style="5" bestFit="1" customWidth="1"/>
    <col min="5025" max="5028" width="9.140625" style="5"/>
    <col min="5029" max="5029" width="13.5703125" style="5" bestFit="1" customWidth="1"/>
    <col min="5030" max="5030" width="10.28515625" style="5" bestFit="1" customWidth="1"/>
    <col min="5031" max="5145" width="9.140625" style="5"/>
    <col min="5146" max="5146" width="3.7109375" style="5" customWidth="1"/>
    <col min="5147" max="5147" width="26.5703125" style="5" customWidth="1"/>
    <col min="5148" max="5149" width="13.7109375" style="5" customWidth="1"/>
    <col min="5150" max="5150" width="11.42578125" style="5" customWidth="1"/>
    <col min="5151" max="5151" width="13.42578125" style="5" customWidth="1"/>
    <col min="5152" max="5152" width="11.140625" style="5" customWidth="1"/>
    <col min="5153" max="5153" width="10.28515625" style="5" customWidth="1"/>
    <col min="5154" max="5154" width="9.42578125" style="5" customWidth="1"/>
    <col min="5155" max="5155" width="8.140625" style="5" customWidth="1"/>
    <col min="5156" max="5156" width="11.42578125" style="5" customWidth="1"/>
    <col min="5157" max="5157" width="7.7109375" style="5" customWidth="1"/>
    <col min="5158" max="5158" width="9" style="5" customWidth="1"/>
    <col min="5159" max="5160" width="9.140625" style="5" customWidth="1"/>
    <col min="5161" max="5165" width="9.140625" style="5"/>
    <col min="5166" max="5166" width="9" style="5" customWidth="1"/>
    <col min="5167" max="5167" width="9.140625" style="5"/>
    <col min="5168" max="5168" width="15.140625" style="5" customWidth="1"/>
    <col min="5169" max="5177" width="9.140625" style="5"/>
    <col min="5178" max="5178" width="10.5703125" style="5" customWidth="1"/>
    <col min="5179" max="5183" width="9.140625" style="5"/>
    <col min="5184" max="5184" width="9" style="5" bestFit="1" customWidth="1"/>
    <col min="5185" max="5185" width="12.140625" style="5" customWidth="1"/>
    <col min="5186" max="5186" width="13.28515625" style="5" customWidth="1"/>
    <col min="5187" max="5187" width="9.140625" style="5"/>
    <col min="5188" max="5188" width="13.140625" style="5" customWidth="1"/>
    <col min="5189" max="5189" width="11.5703125" style="5" customWidth="1"/>
    <col min="5190" max="5190" width="15.42578125" style="5" bestFit="1" customWidth="1"/>
    <col min="5191" max="5208" width="9.140625" style="5"/>
    <col min="5209" max="5211" width="11.140625" style="5" customWidth="1"/>
    <col min="5212" max="5212" width="14.85546875" style="5" bestFit="1" customWidth="1"/>
    <col min="5213" max="5218" width="14.85546875" style="5" customWidth="1"/>
    <col min="5219" max="5222" width="11.140625" style="5" customWidth="1"/>
    <col min="5223" max="5223" width="11" style="5" customWidth="1"/>
    <col min="5224" max="5224" width="13.28515625" style="5" customWidth="1"/>
    <col min="5225" max="5225" width="12.42578125" style="5" customWidth="1"/>
    <col min="5226" max="5234" width="14.85546875" style="5" customWidth="1"/>
    <col min="5235" max="5235" width="13.140625" style="5" customWidth="1"/>
    <col min="5236" max="5236" width="13.7109375" style="5" customWidth="1"/>
    <col min="5237" max="5239" width="13.28515625" style="5" customWidth="1"/>
    <col min="5240" max="5240" width="15.7109375" style="5" customWidth="1"/>
    <col min="5241" max="5241" width="9.140625" style="5"/>
    <col min="5242" max="5242" width="10.28515625" style="5" bestFit="1" customWidth="1"/>
    <col min="5243" max="5243" width="11.5703125" style="5" bestFit="1" customWidth="1"/>
    <col min="5244" max="5244" width="9.140625" style="5" customWidth="1"/>
    <col min="5245" max="5245" width="10.42578125" style="5" customWidth="1"/>
    <col min="5246" max="5247" width="15.85546875" style="5" customWidth="1"/>
    <col min="5248" max="5249" width="16.85546875" style="5" customWidth="1"/>
    <col min="5250" max="5250" width="14.42578125" style="5" customWidth="1"/>
    <col min="5251" max="5252" width="14.28515625" style="5" customWidth="1"/>
    <col min="5253" max="5253" width="14.7109375" style="5" customWidth="1"/>
    <col min="5254" max="5254" width="15.7109375" style="5" customWidth="1"/>
    <col min="5255" max="5255" width="9.140625" style="5"/>
    <col min="5256" max="5256" width="10.28515625" style="5" bestFit="1" customWidth="1"/>
    <col min="5257" max="5257" width="9.140625" style="5"/>
    <col min="5258" max="5258" width="11.5703125" style="5" bestFit="1" customWidth="1"/>
    <col min="5259" max="5259" width="9.28515625" style="5" bestFit="1" customWidth="1"/>
    <col min="5260" max="5260" width="9.140625" style="5"/>
    <col min="5261" max="5261" width="11.7109375" style="5" customWidth="1"/>
    <col min="5262" max="5262" width="10.28515625" style="5" bestFit="1" customWidth="1"/>
    <col min="5263" max="5263" width="9.140625" style="5"/>
    <col min="5264" max="5264" width="11" style="5" bestFit="1" customWidth="1"/>
    <col min="5265" max="5265" width="10" style="5" bestFit="1" customWidth="1"/>
    <col min="5266" max="5266" width="10.28515625" style="5" bestFit="1" customWidth="1"/>
    <col min="5267" max="5267" width="9.28515625" style="5" bestFit="1" customWidth="1"/>
    <col min="5268" max="5268" width="11.28515625" style="5" bestFit="1" customWidth="1"/>
    <col min="5269" max="5269" width="9.42578125" style="5" bestFit="1" customWidth="1"/>
    <col min="5270" max="5270" width="8.140625" style="5" bestFit="1" customWidth="1"/>
    <col min="5271" max="5271" width="10" style="5" bestFit="1" customWidth="1"/>
    <col min="5272" max="5272" width="10.28515625" style="5" bestFit="1" customWidth="1"/>
    <col min="5273" max="5273" width="8.7109375" style="5" customWidth="1"/>
    <col min="5274" max="5274" width="10.28515625" style="5" bestFit="1" customWidth="1"/>
    <col min="5275" max="5275" width="11.28515625" style="5" bestFit="1" customWidth="1"/>
    <col min="5276" max="5276" width="10.85546875" style="5" bestFit="1" customWidth="1"/>
    <col min="5277" max="5277" width="9.85546875" style="5" bestFit="1" customWidth="1"/>
    <col min="5278" max="5279" width="9.140625" style="5"/>
    <col min="5280" max="5280" width="9.85546875" style="5" bestFit="1" customWidth="1"/>
    <col min="5281" max="5284" width="9.140625" style="5"/>
    <col min="5285" max="5285" width="13.5703125" style="5" bestFit="1" customWidth="1"/>
    <col min="5286" max="5286" width="10.28515625" style="5" bestFit="1" customWidth="1"/>
    <col min="5287" max="5401" width="9.140625" style="5"/>
    <col min="5402" max="5402" width="3.7109375" style="5" customWidth="1"/>
    <col min="5403" max="5403" width="26.5703125" style="5" customWidth="1"/>
    <col min="5404" max="5405" width="13.7109375" style="5" customWidth="1"/>
    <col min="5406" max="5406" width="11.42578125" style="5" customWidth="1"/>
    <col min="5407" max="5407" width="13.42578125" style="5" customWidth="1"/>
    <col min="5408" max="5408" width="11.140625" style="5" customWidth="1"/>
    <col min="5409" max="5409" width="10.28515625" style="5" customWidth="1"/>
    <col min="5410" max="5410" width="9.42578125" style="5" customWidth="1"/>
    <col min="5411" max="5411" width="8.140625" style="5" customWidth="1"/>
    <col min="5412" max="5412" width="11.42578125" style="5" customWidth="1"/>
    <col min="5413" max="5413" width="7.7109375" style="5" customWidth="1"/>
    <col min="5414" max="5414" width="9" style="5" customWidth="1"/>
    <col min="5415" max="5416" width="9.140625" style="5" customWidth="1"/>
    <col min="5417" max="5421" width="9.140625" style="5"/>
    <col min="5422" max="5422" width="9" style="5" customWidth="1"/>
    <col min="5423" max="5423" width="9.140625" style="5"/>
    <col min="5424" max="5424" width="15.140625" style="5" customWidth="1"/>
    <col min="5425" max="5433" width="9.140625" style="5"/>
    <col min="5434" max="5434" width="10.5703125" style="5" customWidth="1"/>
    <col min="5435" max="5439" width="9.140625" style="5"/>
    <col min="5440" max="5440" width="9" style="5" bestFit="1" customWidth="1"/>
    <col min="5441" max="5441" width="12.140625" style="5" customWidth="1"/>
    <col min="5442" max="5442" width="13.28515625" style="5" customWidth="1"/>
    <col min="5443" max="5443" width="9.140625" style="5"/>
    <col min="5444" max="5444" width="13.140625" style="5" customWidth="1"/>
    <col min="5445" max="5445" width="11.5703125" style="5" customWidth="1"/>
    <col min="5446" max="5446" width="15.42578125" style="5" bestFit="1" customWidth="1"/>
    <col min="5447" max="5464" width="9.140625" style="5"/>
    <col min="5465" max="5467" width="11.140625" style="5" customWidth="1"/>
    <col min="5468" max="5468" width="14.85546875" style="5" bestFit="1" customWidth="1"/>
    <col min="5469" max="5474" width="14.85546875" style="5" customWidth="1"/>
    <col min="5475" max="5478" width="11.140625" style="5" customWidth="1"/>
    <col min="5479" max="5479" width="11" style="5" customWidth="1"/>
    <col min="5480" max="5480" width="13.28515625" style="5" customWidth="1"/>
    <col min="5481" max="5481" width="12.42578125" style="5" customWidth="1"/>
    <col min="5482" max="5490" width="14.85546875" style="5" customWidth="1"/>
    <col min="5491" max="5491" width="13.140625" style="5" customWidth="1"/>
    <col min="5492" max="5492" width="13.7109375" style="5" customWidth="1"/>
    <col min="5493" max="5495" width="13.28515625" style="5" customWidth="1"/>
    <col min="5496" max="5496" width="15.7109375" style="5" customWidth="1"/>
    <col min="5497" max="5497" width="9.140625" style="5"/>
    <col min="5498" max="5498" width="10.28515625" style="5" bestFit="1" customWidth="1"/>
    <col min="5499" max="5499" width="11.5703125" style="5" bestFit="1" customWidth="1"/>
    <col min="5500" max="5500" width="9.140625" style="5" customWidth="1"/>
    <col min="5501" max="5501" width="10.42578125" style="5" customWidth="1"/>
    <col min="5502" max="5503" width="15.85546875" style="5" customWidth="1"/>
    <col min="5504" max="5505" width="16.85546875" style="5" customWidth="1"/>
    <col min="5506" max="5506" width="14.42578125" style="5" customWidth="1"/>
    <col min="5507" max="5508" width="14.28515625" style="5" customWidth="1"/>
    <col min="5509" max="5509" width="14.7109375" style="5" customWidth="1"/>
    <col min="5510" max="5510" width="15.7109375" style="5" customWidth="1"/>
    <col min="5511" max="5511" width="9.140625" style="5"/>
    <col min="5512" max="5512" width="10.28515625" style="5" bestFit="1" customWidth="1"/>
    <col min="5513" max="5513" width="9.140625" style="5"/>
    <col min="5514" max="5514" width="11.5703125" style="5" bestFit="1" customWidth="1"/>
    <col min="5515" max="5515" width="9.28515625" style="5" bestFit="1" customWidth="1"/>
    <col min="5516" max="5516" width="9.140625" style="5"/>
    <col min="5517" max="5517" width="11.7109375" style="5" customWidth="1"/>
    <col min="5518" max="5518" width="10.28515625" style="5" bestFit="1" customWidth="1"/>
    <col min="5519" max="5519" width="9.140625" style="5"/>
    <col min="5520" max="5520" width="11" style="5" bestFit="1" customWidth="1"/>
    <col min="5521" max="5521" width="10" style="5" bestFit="1" customWidth="1"/>
    <col min="5522" max="5522" width="10.28515625" style="5" bestFit="1" customWidth="1"/>
    <col min="5523" max="5523" width="9.28515625" style="5" bestFit="1" customWidth="1"/>
    <col min="5524" max="5524" width="11.28515625" style="5" bestFit="1" customWidth="1"/>
    <col min="5525" max="5525" width="9.42578125" style="5" bestFit="1" customWidth="1"/>
    <col min="5526" max="5526" width="8.140625" style="5" bestFit="1" customWidth="1"/>
    <col min="5527" max="5527" width="10" style="5" bestFit="1" customWidth="1"/>
    <col min="5528" max="5528" width="10.28515625" style="5" bestFit="1" customWidth="1"/>
    <col min="5529" max="5529" width="8.7109375" style="5" customWidth="1"/>
    <col min="5530" max="5530" width="10.28515625" style="5" bestFit="1" customWidth="1"/>
    <col min="5531" max="5531" width="11.28515625" style="5" bestFit="1" customWidth="1"/>
    <col min="5532" max="5532" width="10.85546875" style="5" bestFit="1" customWidth="1"/>
    <col min="5533" max="5533" width="9.85546875" style="5" bestFit="1" customWidth="1"/>
    <col min="5534" max="5535" width="9.140625" style="5"/>
    <col min="5536" max="5536" width="9.85546875" style="5" bestFit="1" customWidth="1"/>
    <col min="5537" max="5540" width="9.140625" style="5"/>
    <col min="5541" max="5541" width="13.5703125" style="5" bestFit="1" customWidth="1"/>
    <col min="5542" max="5542" width="10.28515625" style="5" bestFit="1" customWidth="1"/>
    <col min="5543" max="5657" width="9.140625" style="5"/>
    <col min="5658" max="5658" width="3.7109375" style="5" customWidth="1"/>
    <col min="5659" max="5659" width="26.5703125" style="5" customWidth="1"/>
    <col min="5660" max="5661" width="13.7109375" style="5" customWidth="1"/>
    <col min="5662" max="5662" width="11.42578125" style="5" customWidth="1"/>
    <col min="5663" max="5663" width="13.42578125" style="5" customWidth="1"/>
    <col min="5664" max="5664" width="11.140625" style="5" customWidth="1"/>
    <col min="5665" max="5665" width="10.28515625" style="5" customWidth="1"/>
    <col min="5666" max="5666" width="9.42578125" style="5" customWidth="1"/>
    <col min="5667" max="5667" width="8.140625" style="5" customWidth="1"/>
    <col min="5668" max="5668" width="11.42578125" style="5" customWidth="1"/>
    <col min="5669" max="5669" width="7.7109375" style="5" customWidth="1"/>
    <col min="5670" max="5670" width="9" style="5" customWidth="1"/>
    <col min="5671" max="5672" width="9.140625" style="5" customWidth="1"/>
    <col min="5673" max="5677" width="9.140625" style="5"/>
    <col min="5678" max="5678" width="9" style="5" customWidth="1"/>
    <col min="5679" max="5679" width="9.140625" style="5"/>
    <col min="5680" max="5680" width="15.140625" style="5" customWidth="1"/>
    <col min="5681" max="5689" width="9.140625" style="5"/>
    <col min="5690" max="5690" width="10.5703125" style="5" customWidth="1"/>
    <col min="5691" max="5695" width="9.140625" style="5"/>
    <col min="5696" max="5696" width="9" style="5" bestFit="1" customWidth="1"/>
    <col min="5697" max="5697" width="12.140625" style="5" customWidth="1"/>
    <col min="5698" max="5698" width="13.28515625" style="5" customWidth="1"/>
    <col min="5699" max="5699" width="9.140625" style="5"/>
    <col min="5700" max="5700" width="13.140625" style="5" customWidth="1"/>
    <col min="5701" max="5701" width="11.5703125" style="5" customWidth="1"/>
    <col min="5702" max="5702" width="15.42578125" style="5" bestFit="1" customWidth="1"/>
    <col min="5703" max="5720" width="9.140625" style="5"/>
    <col min="5721" max="5723" width="11.140625" style="5" customWidth="1"/>
    <col min="5724" max="5724" width="14.85546875" style="5" bestFit="1" customWidth="1"/>
    <col min="5725" max="5730" width="14.85546875" style="5" customWidth="1"/>
    <col min="5731" max="5734" width="11.140625" style="5" customWidth="1"/>
    <col min="5735" max="5735" width="11" style="5" customWidth="1"/>
    <col min="5736" max="5736" width="13.28515625" style="5" customWidth="1"/>
    <col min="5737" max="5737" width="12.42578125" style="5" customWidth="1"/>
    <col min="5738" max="5746" width="14.85546875" style="5" customWidth="1"/>
    <col min="5747" max="5747" width="13.140625" style="5" customWidth="1"/>
    <col min="5748" max="5748" width="13.7109375" style="5" customWidth="1"/>
    <col min="5749" max="5751" width="13.28515625" style="5" customWidth="1"/>
    <col min="5752" max="5752" width="15.7109375" style="5" customWidth="1"/>
    <col min="5753" max="5753" width="9.140625" style="5"/>
    <col min="5754" max="5754" width="10.28515625" style="5" bestFit="1" customWidth="1"/>
    <col min="5755" max="5755" width="11.5703125" style="5" bestFit="1" customWidth="1"/>
    <col min="5756" max="5756" width="9.140625" style="5" customWidth="1"/>
    <col min="5757" max="5757" width="10.42578125" style="5" customWidth="1"/>
    <col min="5758" max="5759" width="15.85546875" style="5" customWidth="1"/>
    <col min="5760" max="5761" width="16.85546875" style="5" customWidth="1"/>
    <col min="5762" max="5762" width="14.42578125" style="5" customWidth="1"/>
    <col min="5763" max="5764" width="14.28515625" style="5" customWidth="1"/>
    <col min="5765" max="5765" width="14.7109375" style="5" customWidth="1"/>
    <col min="5766" max="5766" width="15.7109375" style="5" customWidth="1"/>
    <col min="5767" max="5767" width="9.140625" style="5"/>
    <col min="5768" max="5768" width="10.28515625" style="5" bestFit="1" customWidth="1"/>
    <col min="5769" max="5769" width="9.140625" style="5"/>
    <col min="5770" max="5770" width="11.5703125" style="5" bestFit="1" customWidth="1"/>
    <col min="5771" max="5771" width="9.28515625" style="5" bestFit="1" customWidth="1"/>
    <col min="5772" max="5772" width="9.140625" style="5"/>
    <col min="5773" max="5773" width="11.7109375" style="5" customWidth="1"/>
    <col min="5774" max="5774" width="10.28515625" style="5" bestFit="1" customWidth="1"/>
    <col min="5775" max="5775" width="9.140625" style="5"/>
    <col min="5776" max="5776" width="11" style="5" bestFit="1" customWidth="1"/>
    <col min="5777" max="5777" width="10" style="5" bestFit="1" customWidth="1"/>
    <col min="5778" max="5778" width="10.28515625" style="5" bestFit="1" customWidth="1"/>
    <col min="5779" max="5779" width="9.28515625" style="5" bestFit="1" customWidth="1"/>
    <col min="5780" max="5780" width="11.28515625" style="5" bestFit="1" customWidth="1"/>
    <col min="5781" max="5781" width="9.42578125" style="5" bestFit="1" customWidth="1"/>
    <col min="5782" max="5782" width="8.140625" style="5" bestFit="1" customWidth="1"/>
    <col min="5783" max="5783" width="10" style="5" bestFit="1" customWidth="1"/>
    <col min="5784" max="5784" width="10.28515625" style="5" bestFit="1" customWidth="1"/>
    <col min="5785" max="5785" width="8.7109375" style="5" customWidth="1"/>
    <col min="5786" max="5786" width="10.28515625" style="5" bestFit="1" customWidth="1"/>
    <col min="5787" max="5787" width="11.28515625" style="5" bestFit="1" customWidth="1"/>
    <col min="5788" max="5788" width="10.85546875" style="5" bestFit="1" customWidth="1"/>
    <col min="5789" max="5789" width="9.85546875" style="5" bestFit="1" customWidth="1"/>
    <col min="5790" max="5791" width="9.140625" style="5"/>
    <col min="5792" max="5792" width="9.85546875" style="5" bestFit="1" customWidth="1"/>
    <col min="5793" max="5796" width="9.140625" style="5"/>
    <col min="5797" max="5797" width="13.5703125" style="5" bestFit="1" customWidth="1"/>
    <col min="5798" max="5798" width="10.28515625" style="5" bestFit="1" customWidth="1"/>
    <col min="5799" max="5913" width="9.140625" style="5"/>
    <col min="5914" max="5914" width="3.7109375" style="5" customWidth="1"/>
    <col min="5915" max="5915" width="26.5703125" style="5" customWidth="1"/>
    <col min="5916" max="5917" width="13.7109375" style="5" customWidth="1"/>
    <col min="5918" max="5918" width="11.42578125" style="5" customWidth="1"/>
    <col min="5919" max="5919" width="13.42578125" style="5" customWidth="1"/>
    <col min="5920" max="5920" width="11.140625" style="5" customWidth="1"/>
    <col min="5921" max="5921" width="10.28515625" style="5" customWidth="1"/>
    <col min="5922" max="5922" width="9.42578125" style="5" customWidth="1"/>
    <col min="5923" max="5923" width="8.140625" style="5" customWidth="1"/>
    <col min="5924" max="5924" width="11.42578125" style="5" customWidth="1"/>
    <col min="5925" max="5925" width="7.7109375" style="5" customWidth="1"/>
    <col min="5926" max="5926" width="9" style="5" customWidth="1"/>
    <col min="5927" max="5928" width="9.140625" style="5" customWidth="1"/>
    <col min="5929" max="5933" width="9.140625" style="5"/>
    <col min="5934" max="5934" width="9" style="5" customWidth="1"/>
    <col min="5935" max="5935" width="9.140625" style="5"/>
    <col min="5936" max="5936" width="15.140625" style="5" customWidth="1"/>
    <col min="5937" max="5945" width="9.140625" style="5"/>
    <col min="5946" max="5946" width="10.5703125" style="5" customWidth="1"/>
    <col min="5947" max="5951" width="9.140625" style="5"/>
    <col min="5952" max="5952" width="9" style="5" bestFit="1" customWidth="1"/>
    <col min="5953" max="5953" width="12.140625" style="5" customWidth="1"/>
    <col min="5954" max="5954" width="13.28515625" style="5" customWidth="1"/>
    <col min="5955" max="5955" width="9.140625" style="5"/>
    <col min="5956" max="5956" width="13.140625" style="5" customWidth="1"/>
    <col min="5957" max="5957" width="11.5703125" style="5" customWidth="1"/>
    <col min="5958" max="5958" width="15.42578125" style="5" bestFit="1" customWidth="1"/>
    <col min="5959" max="5976" width="9.140625" style="5"/>
    <col min="5977" max="5979" width="11.140625" style="5" customWidth="1"/>
    <col min="5980" max="5980" width="14.85546875" style="5" bestFit="1" customWidth="1"/>
    <col min="5981" max="5986" width="14.85546875" style="5" customWidth="1"/>
    <col min="5987" max="5990" width="11.140625" style="5" customWidth="1"/>
    <col min="5991" max="5991" width="11" style="5" customWidth="1"/>
    <col min="5992" max="5992" width="13.28515625" style="5" customWidth="1"/>
    <col min="5993" max="5993" width="12.42578125" style="5" customWidth="1"/>
    <col min="5994" max="6002" width="14.85546875" style="5" customWidth="1"/>
    <col min="6003" max="6003" width="13.140625" style="5" customWidth="1"/>
    <col min="6004" max="6004" width="13.7109375" style="5" customWidth="1"/>
    <col min="6005" max="6007" width="13.28515625" style="5" customWidth="1"/>
    <col min="6008" max="6008" width="15.7109375" style="5" customWidth="1"/>
    <col min="6009" max="6009" width="9.140625" style="5"/>
    <col min="6010" max="6010" width="10.28515625" style="5" bestFit="1" customWidth="1"/>
    <col min="6011" max="6011" width="11.5703125" style="5" bestFit="1" customWidth="1"/>
    <col min="6012" max="6012" width="9.140625" style="5" customWidth="1"/>
    <col min="6013" max="6013" width="10.42578125" style="5" customWidth="1"/>
    <col min="6014" max="6015" width="15.85546875" style="5" customWidth="1"/>
    <col min="6016" max="6017" width="16.85546875" style="5" customWidth="1"/>
    <col min="6018" max="6018" width="14.42578125" style="5" customWidth="1"/>
    <col min="6019" max="6020" width="14.28515625" style="5" customWidth="1"/>
    <col min="6021" max="6021" width="14.7109375" style="5" customWidth="1"/>
    <col min="6022" max="6022" width="15.7109375" style="5" customWidth="1"/>
    <col min="6023" max="6023" width="9.140625" style="5"/>
    <col min="6024" max="6024" width="10.28515625" style="5" bestFit="1" customWidth="1"/>
    <col min="6025" max="6025" width="9.140625" style="5"/>
    <col min="6026" max="6026" width="11.5703125" style="5" bestFit="1" customWidth="1"/>
    <col min="6027" max="6027" width="9.28515625" style="5" bestFit="1" customWidth="1"/>
    <col min="6028" max="6028" width="9.140625" style="5"/>
    <col min="6029" max="6029" width="11.7109375" style="5" customWidth="1"/>
    <col min="6030" max="6030" width="10.28515625" style="5" bestFit="1" customWidth="1"/>
    <col min="6031" max="6031" width="9.140625" style="5"/>
    <col min="6032" max="6032" width="11" style="5" bestFit="1" customWidth="1"/>
    <col min="6033" max="6033" width="10" style="5" bestFit="1" customWidth="1"/>
    <col min="6034" max="6034" width="10.28515625" style="5" bestFit="1" customWidth="1"/>
    <col min="6035" max="6035" width="9.28515625" style="5" bestFit="1" customWidth="1"/>
    <col min="6036" max="6036" width="11.28515625" style="5" bestFit="1" customWidth="1"/>
    <col min="6037" max="6037" width="9.42578125" style="5" bestFit="1" customWidth="1"/>
    <col min="6038" max="6038" width="8.140625" style="5" bestFit="1" customWidth="1"/>
    <col min="6039" max="6039" width="10" style="5" bestFit="1" customWidth="1"/>
    <col min="6040" max="6040" width="10.28515625" style="5" bestFit="1" customWidth="1"/>
    <col min="6041" max="6041" width="8.7109375" style="5" customWidth="1"/>
    <col min="6042" max="6042" width="10.28515625" style="5" bestFit="1" customWidth="1"/>
    <col min="6043" max="6043" width="11.28515625" style="5" bestFit="1" customWidth="1"/>
    <col min="6044" max="6044" width="10.85546875" style="5" bestFit="1" customWidth="1"/>
    <col min="6045" max="6045" width="9.85546875" style="5" bestFit="1" customWidth="1"/>
    <col min="6046" max="6047" width="9.140625" style="5"/>
    <col min="6048" max="6048" width="9.85546875" style="5" bestFit="1" customWidth="1"/>
    <col min="6049" max="6052" width="9.140625" style="5"/>
    <col min="6053" max="6053" width="13.5703125" style="5" bestFit="1" customWidth="1"/>
    <col min="6054" max="6054" width="10.28515625" style="5" bestFit="1" customWidth="1"/>
    <col min="6055" max="6169" width="9.140625" style="5"/>
    <col min="6170" max="6170" width="3.7109375" style="5" customWidth="1"/>
    <col min="6171" max="6171" width="26.5703125" style="5" customWidth="1"/>
    <col min="6172" max="6173" width="13.7109375" style="5" customWidth="1"/>
    <col min="6174" max="6174" width="11.42578125" style="5" customWidth="1"/>
    <col min="6175" max="6175" width="13.42578125" style="5" customWidth="1"/>
    <col min="6176" max="6176" width="11.140625" style="5" customWidth="1"/>
    <col min="6177" max="6177" width="10.28515625" style="5" customWidth="1"/>
    <col min="6178" max="6178" width="9.42578125" style="5" customWidth="1"/>
    <col min="6179" max="6179" width="8.140625" style="5" customWidth="1"/>
    <col min="6180" max="6180" width="11.42578125" style="5" customWidth="1"/>
    <col min="6181" max="6181" width="7.7109375" style="5" customWidth="1"/>
    <col min="6182" max="6182" width="9" style="5" customWidth="1"/>
    <col min="6183" max="6184" width="9.140625" style="5" customWidth="1"/>
    <col min="6185" max="6189" width="9.140625" style="5"/>
    <col min="6190" max="6190" width="9" style="5" customWidth="1"/>
    <col min="6191" max="6191" width="9.140625" style="5"/>
    <col min="6192" max="6192" width="15.140625" style="5" customWidth="1"/>
    <col min="6193" max="6201" width="9.140625" style="5"/>
    <col min="6202" max="6202" width="10.5703125" style="5" customWidth="1"/>
    <col min="6203" max="6207" width="9.140625" style="5"/>
    <col min="6208" max="6208" width="9" style="5" bestFit="1" customWidth="1"/>
    <col min="6209" max="6209" width="12.140625" style="5" customWidth="1"/>
    <col min="6210" max="6210" width="13.28515625" style="5" customWidth="1"/>
    <col min="6211" max="6211" width="9.140625" style="5"/>
    <col min="6212" max="6212" width="13.140625" style="5" customWidth="1"/>
    <col min="6213" max="6213" width="11.5703125" style="5" customWidth="1"/>
    <col min="6214" max="6214" width="15.42578125" style="5" bestFit="1" customWidth="1"/>
    <col min="6215" max="6232" width="9.140625" style="5"/>
    <col min="6233" max="6235" width="11.140625" style="5" customWidth="1"/>
    <col min="6236" max="6236" width="14.85546875" style="5" bestFit="1" customWidth="1"/>
    <col min="6237" max="6242" width="14.85546875" style="5" customWidth="1"/>
    <col min="6243" max="6246" width="11.140625" style="5" customWidth="1"/>
    <col min="6247" max="6247" width="11" style="5" customWidth="1"/>
    <col min="6248" max="6248" width="13.28515625" style="5" customWidth="1"/>
    <col min="6249" max="6249" width="12.42578125" style="5" customWidth="1"/>
    <col min="6250" max="6258" width="14.85546875" style="5" customWidth="1"/>
    <col min="6259" max="6259" width="13.140625" style="5" customWidth="1"/>
    <col min="6260" max="6260" width="13.7109375" style="5" customWidth="1"/>
    <col min="6261" max="6263" width="13.28515625" style="5" customWidth="1"/>
    <col min="6264" max="6264" width="15.7109375" style="5" customWidth="1"/>
    <col min="6265" max="6265" width="9.140625" style="5"/>
    <col min="6266" max="6266" width="10.28515625" style="5" bestFit="1" customWidth="1"/>
    <col min="6267" max="6267" width="11.5703125" style="5" bestFit="1" customWidth="1"/>
    <col min="6268" max="6268" width="9.140625" style="5" customWidth="1"/>
    <col min="6269" max="6269" width="10.42578125" style="5" customWidth="1"/>
    <col min="6270" max="6271" width="15.85546875" style="5" customWidth="1"/>
    <col min="6272" max="6273" width="16.85546875" style="5" customWidth="1"/>
    <col min="6274" max="6274" width="14.42578125" style="5" customWidth="1"/>
    <col min="6275" max="6276" width="14.28515625" style="5" customWidth="1"/>
    <col min="6277" max="6277" width="14.7109375" style="5" customWidth="1"/>
    <col min="6278" max="6278" width="15.7109375" style="5" customWidth="1"/>
    <col min="6279" max="6279" width="9.140625" style="5"/>
    <col min="6280" max="6280" width="10.28515625" style="5" bestFit="1" customWidth="1"/>
    <col min="6281" max="6281" width="9.140625" style="5"/>
    <col min="6282" max="6282" width="11.5703125" style="5" bestFit="1" customWidth="1"/>
    <col min="6283" max="6283" width="9.28515625" style="5" bestFit="1" customWidth="1"/>
    <col min="6284" max="6284" width="9.140625" style="5"/>
    <col min="6285" max="6285" width="11.7109375" style="5" customWidth="1"/>
    <col min="6286" max="6286" width="10.28515625" style="5" bestFit="1" customWidth="1"/>
    <col min="6287" max="6287" width="9.140625" style="5"/>
    <col min="6288" max="6288" width="11" style="5" bestFit="1" customWidth="1"/>
    <col min="6289" max="6289" width="10" style="5" bestFit="1" customWidth="1"/>
    <col min="6290" max="6290" width="10.28515625" style="5" bestFit="1" customWidth="1"/>
    <col min="6291" max="6291" width="9.28515625" style="5" bestFit="1" customWidth="1"/>
    <col min="6292" max="6292" width="11.28515625" style="5" bestFit="1" customWidth="1"/>
    <col min="6293" max="6293" width="9.42578125" style="5" bestFit="1" customWidth="1"/>
    <col min="6294" max="6294" width="8.140625" style="5" bestFit="1" customWidth="1"/>
    <col min="6295" max="6295" width="10" style="5" bestFit="1" customWidth="1"/>
    <col min="6296" max="6296" width="10.28515625" style="5" bestFit="1" customWidth="1"/>
    <col min="6297" max="6297" width="8.7109375" style="5" customWidth="1"/>
    <col min="6298" max="6298" width="10.28515625" style="5" bestFit="1" customWidth="1"/>
    <col min="6299" max="6299" width="11.28515625" style="5" bestFit="1" customWidth="1"/>
    <col min="6300" max="6300" width="10.85546875" style="5" bestFit="1" customWidth="1"/>
    <col min="6301" max="6301" width="9.85546875" style="5" bestFit="1" customWidth="1"/>
    <col min="6302" max="6303" width="9.140625" style="5"/>
    <col min="6304" max="6304" width="9.85546875" style="5" bestFit="1" customWidth="1"/>
    <col min="6305" max="6308" width="9.140625" style="5"/>
    <col min="6309" max="6309" width="13.5703125" style="5" bestFit="1" customWidth="1"/>
    <col min="6310" max="6310" width="10.28515625" style="5" bestFit="1" customWidth="1"/>
    <col min="6311" max="6425" width="9.140625" style="5"/>
    <col min="6426" max="6426" width="3.7109375" style="5" customWidth="1"/>
    <col min="6427" max="6427" width="26.5703125" style="5" customWidth="1"/>
    <col min="6428" max="6429" width="13.7109375" style="5" customWidth="1"/>
    <col min="6430" max="6430" width="11.42578125" style="5" customWidth="1"/>
    <col min="6431" max="6431" width="13.42578125" style="5" customWidth="1"/>
    <col min="6432" max="6432" width="11.140625" style="5" customWidth="1"/>
    <col min="6433" max="6433" width="10.28515625" style="5" customWidth="1"/>
    <col min="6434" max="6434" width="9.42578125" style="5" customWidth="1"/>
    <col min="6435" max="6435" width="8.140625" style="5" customWidth="1"/>
    <col min="6436" max="6436" width="11.42578125" style="5" customWidth="1"/>
    <col min="6437" max="6437" width="7.7109375" style="5" customWidth="1"/>
    <col min="6438" max="6438" width="9" style="5" customWidth="1"/>
    <col min="6439" max="6440" width="9.140625" style="5" customWidth="1"/>
    <col min="6441" max="6445" width="9.140625" style="5"/>
    <col min="6446" max="6446" width="9" style="5" customWidth="1"/>
    <col min="6447" max="6447" width="9.140625" style="5"/>
    <col min="6448" max="6448" width="15.140625" style="5" customWidth="1"/>
    <col min="6449" max="6457" width="9.140625" style="5"/>
    <col min="6458" max="6458" width="10.5703125" style="5" customWidth="1"/>
    <col min="6459" max="6463" width="9.140625" style="5"/>
    <col min="6464" max="6464" width="9" style="5" bestFit="1" customWidth="1"/>
    <col min="6465" max="6465" width="12.140625" style="5" customWidth="1"/>
    <col min="6466" max="6466" width="13.28515625" style="5" customWidth="1"/>
    <col min="6467" max="6467" width="9.140625" style="5"/>
    <col min="6468" max="6468" width="13.140625" style="5" customWidth="1"/>
    <col min="6469" max="6469" width="11.5703125" style="5" customWidth="1"/>
    <col min="6470" max="6470" width="15.42578125" style="5" bestFit="1" customWidth="1"/>
    <col min="6471" max="6488" width="9.140625" style="5"/>
    <col min="6489" max="6491" width="11.140625" style="5" customWidth="1"/>
    <col min="6492" max="6492" width="14.85546875" style="5" bestFit="1" customWidth="1"/>
    <col min="6493" max="6498" width="14.85546875" style="5" customWidth="1"/>
    <col min="6499" max="6502" width="11.140625" style="5" customWidth="1"/>
    <col min="6503" max="6503" width="11" style="5" customWidth="1"/>
    <col min="6504" max="6504" width="13.28515625" style="5" customWidth="1"/>
    <col min="6505" max="6505" width="12.42578125" style="5" customWidth="1"/>
    <col min="6506" max="6514" width="14.85546875" style="5" customWidth="1"/>
    <col min="6515" max="6515" width="13.140625" style="5" customWidth="1"/>
    <col min="6516" max="6516" width="13.7109375" style="5" customWidth="1"/>
    <col min="6517" max="6519" width="13.28515625" style="5" customWidth="1"/>
    <col min="6520" max="6520" width="15.7109375" style="5" customWidth="1"/>
    <col min="6521" max="6521" width="9.140625" style="5"/>
    <col min="6522" max="6522" width="10.28515625" style="5" bestFit="1" customWidth="1"/>
    <col min="6523" max="6523" width="11.5703125" style="5" bestFit="1" customWidth="1"/>
    <col min="6524" max="6524" width="9.140625" style="5" customWidth="1"/>
    <col min="6525" max="6525" width="10.42578125" style="5" customWidth="1"/>
    <col min="6526" max="6527" width="15.85546875" style="5" customWidth="1"/>
    <col min="6528" max="6529" width="16.85546875" style="5" customWidth="1"/>
    <col min="6530" max="6530" width="14.42578125" style="5" customWidth="1"/>
    <col min="6531" max="6532" width="14.28515625" style="5" customWidth="1"/>
    <col min="6533" max="6533" width="14.7109375" style="5" customWidth="1"/>
    <col min="6534" max="6534" width="15.7109375" style="5" customWidth="1"/>
    <col min="6535" max="6535" width="9.140625" style="5"/>
    <col min="6536" max="6536" width="10.28515625" style="5" bestFit="1" customWidth="1"/>
    <col min="6537" max="6537" width="9.140625" style="5"/>
    <col min="6538" max="6538" width="11.5703125" style="5" bestFit="1" customWidth="1"/>
    <col min="6539" max="6539" width="9.28515625" style="5" bestFit="1" customWidth="1"/>
    <col min="6540" max="6540" width="9.140625" style="5"/>
    <col min="6541" max="6541" width="11.7109375" style="5" customWidth="1"/>
    <col min="6542" max="6542" width="10.28515625" style="5" bestFit="1" customWidth="1"/>
    <col min="6543" max="6543" width="9.140625" style="5"/>
    <col min="6544" max="6544" width="11" style="5" bestFit="1" customWidth="1"/>
    <col min="6545" max="6545" width="10" style="5" bestFit="1" customWidth="1"/>
    <col min="6546" max="6546" width="10.28515625" style="5" bestFit="1" customWidth="1"/>
    <col min="6547" max="6547" width="9.28515625" style="5" bestFit="1" customWidth="1"/>
    <col min="6548" max="6548" width="11.28515625" style="5" bestFit="1" customWidth="1"/>
    <col min="6549" max="6549" width="9.42578125" style="5" bestFit="1" customWidth="1"/>
    <col min="6550" max="6550" width="8.140625" style="5" bestFit="1" customWidth="1"/>
    <col min="6551" max="6551" width="10" style="5" bestFit="1" customWidth="1"/>
    <col min="6552" max="6552" width="10.28515625" style="5" bestFit="1" customWidth="1"/>
    <col min="6553" max="6553" width="8.7109375" style="5" customWidth="1"/>
    <col min="6554" max="6554" width="10.28515625" style="5" bestFit="1" customWidth="1"/>
    <col min="6555" max="6555" width="11.28515625" style="5" bestFit="1" customWidth="1"/>
    <col min="6556" max="6556" width="10.85546875" style="5" bestFit="1" customWidth="1"/>
    <col min="6557" max="6557" width="9.85546875" style="5" bestFit="1" customWidth="1"/>
    <col min="6558" max="6559" width="9.140625" style="5"/>
    <col min="6560" max="6560" width="9.85546875" style="5" bestFit="1" customWidth="1"/>
    <col min="6561" max="6564" width="9.140625" style="5"/>
    <col min="6565" max="6565" width="13.5703125" style="5" bestFit="1" customWidth="1"/>
    <col min="6566" max="6566" width="10.28515625" style="5" bestFit="1" customWidth="1"/>
    <col min="6567" max="6681" width="9.140625" style="5"/>
    <col min="6682" max="6682" width="3.7109375" style="5" customWidth="1"/>
    <col min="6683" max="6683" width="26.5703125" style="5" customWidth="1"/>
    <col min="6684" max="6685" width="13.7109375" style="5" customWidth="1"/>
    <col min="6686" max="6686" width="11.42578125" style="5" customWidth="1"/>
    <col min="6687" max="6687" width="13.42578125" style="5" customWidth="1"/>
    <col min="6688" max="6688" width="11.140625" style="5" customWidth="1"/>
    <col min="6689" max="6689" width="10.28515625" style="5" customWidth="1"/>
    <col min="6690" max="6690" width="9.42578125" style="5" customWidth="1"/>
    <col min="6691" max="6691" width="8.140625" style="5" customWidth="1"/>
    <col min="6692" max="6692" width="11.42578125" style="5" customWidth="1"/>
    <col min="6693" max="6693" width="7.7109375" style="5" customWidth="1"/>
    <col min="6694" max="6694" width="9" style="5" customWidth="1"/>
    <col min="6695" max="6696" width="9.140625" style="5" customWidth="1"/>
    <col min="6697" max="6701" width="9.140625" style="5"/>
    <col min="6702" max="6702" width="9" style="5" customWidth="1"/>
    <col min="6703" max="6703" width="9.140625" style="5"/>
    <col min="6704" max="6704" width="15.140625" style="5" customWidth="1"/>
    <col min="6705" max="6713" width="9.140625" style="5"/>
    <col min="6714" max="6714" width="10.5703125" style="5" customWidth="1"/>
    <col min="6715" max="6719" width="9.140625" style="5"/>
    <col min="6720" max="6720" width="9" style="5" bestFit="1" customWidth="1"/>
    <col min="6721" max="6721" width="12.140625" style="5" customWidth="1"/>
    <col min="6722" max="6722" width="13.28515625" style="5" customWidth="1"/>
    <col min="6723" max="6723" width="9.140625" style="5"/>
    <col min="6724" max="6724" width="13.140625" style="5" customWidth="1"/>
    <col min="6725" max="6725" width="11.5703125" style="5" customWidth="1"/>
    <col min="6726" max="6726" width="15.42578125" style="5" bestFit="1" customWidth="1"/>
    <col min="6727" max="6744" width="9.140625" style="5"/>
    <col min="6745" max="6747" width="11.140625" style="5" customWidth="1"/>
    <col min="6748" max="6748" width="14.85546875" style="5" bestFit="1" customWidth="1"/>
    <col min="6749" max="6754" width="14.85546875" style="5" customWidth="1"/>
    <col min="6755" max="6758" width="11.140625" style="5" customWidth="1"/>
    <col min="6759" max="6759" width="11" style="5" customWidth="1"/>
    <col min="6760" max="6760" width="13.28515625" style="5" customWidth="1"/>
    <col min="6761" max="6761" width="12.42578125" style="5" customWidth="1"/>
    <col min="6762" max="6770" width="14.85546875" style="5" customWidth="1"/>
    <col min="6771" max="6771" width="13.140625" style="5" customWidth="1"/>
    <col min="6772" max="6772" width="13.7109375" style="5" customWidth="1"/>
    <col min="6773" max="6775" width="13.28515625" style="5" customWidth="1"/>
    <col min="6776" max="6776" width="15.7109375" style="5" customWidth="1"/>
    <col min="6777" max="6777" width="9.140625" style="5"/>
    <col min="6778" max="6778" width="10.28515625" style="5" bestFit="1" customWidth="1"/>
    <col min="6779" max="6779" width="11.5703125" style="5" bestFit="1" customWidth="1"/>
    <col min="6780" max="6780" width="9.140625" style="5" customWidth="1"/>
    <col min="6781" max="6781" width="10.42578125" style="5" customWidth="1"/>
    <col min="6782" max="6783" width="15.85546875" style="5" customWidth="1"/>
    <col min="6784" max="6785" width="16.85546875" style="5" customWidth="1"/>
    <col min="6786" max="6786" width="14.42578125" style="5" customWidth="1"/>
    <col min="6787" max="6788" width="14.28515625" style="5" customWidth="1"/>
    <col min="6789" max="6789" width="14.7109375" style="5" customWidth="1"/>
    <col min="6790" max="6790" width="15.7109375" style="5" customWidth="1"/>
    <col min="6791" max="6791" width="9.140625" style="5"/>
    <col min="6792" max="6792" width="10.28515625" style="5" bestFit="1" customWidth="1"/>
    <col min="6793" max="6793" width="9.140625" style="5"/>
    <col min="6794" max="6794" width="11.5703125" style="5" bestFit="1" customWidth="1"/>
    <col min="6795" max="6795" width="9.28515625" style="5" bestFit="1" customWidth="1"/>
    <col min="6796" max="6796" width="9.140625" style="5"/>
    <col min="6797" max="6797" width="11.7109375" style="5" customWidth="1"/>
    <col min="6798" max="6798" width="10.28515625" style="5" bestFit="1" customWidth="1"/>
    <col min="6799" max="6799" width="9.140625" style="5"/>
    <col min="6800" max="6800" width="11" style="5" bestFit="1" customWidth="1"/>
    <col min="6801" max="6801" width="10" style="5" bestFit="1" customWidth="1"/>
    <col min="6802" max="6802" width="10.28515625" style="5" bestFit="1" customWidth="1"/>
    <col min="6803" max="6803" width="9.28515625" style="5" bestFit="1" customWidth="1"/>
    <col min="6804" max="6804" width="11.28515625" style="5" bestFit="1" customWidth="1"/>
    <col min="6805" max="6805" width="9.42578125" style="5" bestFit="1" customWidth="1"/>
    <col min="6806" max="6806" width="8.140625" style="5" bestFit="1" customWidth="1"/>
    <col min="6807" max="6807" width="10" style="5" bestFit="1" customWidth="1"/>
    <col min="6808" max="6808" width="10.28515625" style="5" bestFit="1" customWidth="1"/>
    <col min="6809" max="6809" width="8.7109375" style="5" customWidth="1"/>
    <col min="6810" max="6810" width="10.28515625" style="5" bestFit="1" customWidth="1"/>
    <col min="6811" max="6811" width="11.28515625" style="5" bestFit="1" customWidth="1"/>
    <col min="6812" max="6812" width="10.85546875" style="5" bestFit="1" customWidth="1"/>
    <col min="6813" max="6813" width="9.85546875" style="5" bestFit="1" customWidth="1"/>
    <col min="6814" max="6815" width="9.140625" style="5"/>
    <col min="6816" max="6816" width="9.85546875" style="5" bestFit="1" customWidth="1"/>
    <col min="6817" max="6820" width="9.140625" style="5"/>
    <col min="6821" max="6821" width="13.5703125" style="5" bestFit="1" customWidth="1"/>
    <col min="6822" max="6822" width="10.28515625" style="5" bestFit="1" customWidth="1"/>
    <col min="6823" max="6937" width="9.140625" style="5"/>
    <col min="6938" max="6938" width="3.7109375" style="5" customWidth="1"/>
    <col min="6939" max="6939" width="26.5703125" style="5" customWidth="1"/>
    <col min="6940" max="6941" width="13.7109375" style="5" customWidth="1"/>
    <col min="6942" max="6942" width="11.42578125" style="5" customWidth="1"/>
    <col min="6943" max="6943" width="13.42578125" style="5" customWidth="1"/>
    <col min="6944" max="6944" width="11.140625" style="5" customWidth="1"/>
    <col min="6945" max="6945" width="10.28515625" style="5" customWidth="1"/>
    <col min="6946" max="6946" width="9.42578125" style="5" customWidth="1"/>
    <col min="6947" max="6947" width="8.140625" style="5" customWidth="1"/>
    <col min="6948" max="6948" width="11.42578125" style="5" customWidth="1"/>
    <col min="6949" max="6949" width="7.7109375" style="5" customWidth="1"/>
    <col min="6950" max="6950" width="9" style="5" customWidth="1"/>
    <col min="6951" max="6952" width="9.140625" style="5" customWidth="1"/>
    <col min="6953" max="6957" width="9.140625" style="5"/>
    <col min="6958" max="6958" width="9" style="5" customWidth="1"/>
    <col min="6959" max="6959" width="9.140625" style="5"/>
    <col min="6960" max="6960" width="15.140625" style="5" customWidth="1"/>
    <col min="6961" max="6969" width="9.140625" style="5"/>
    <col min="6970" max="6970" width="10.5703125" style="5" customWidth="1"/>
    <col min="6971" max="6975" width="9.140625" style="5"/>
    <col min="6976" max="6976" width="9" style="5" bestFit="1" customWidth="1"/>
    <col min="6977" max="6977" width="12.140625" style="5" customWidth="1"/>
    <col min="6978" max="6978" width="13.28515625" style="5" customWidth="1"/>
    <col min="6979" max="6979" width="9.140625" style="5"/>
    <col min="6980" max="6980" width="13.140625" style="5" customWidth="1"/>
    <col min="6981" max="6981" width="11.5703125" style="5" customWidth="1"/>
    <col min="6982" max="6982" width="15.42578125" style="5" bestFit="1" customWidth="1"/>
    <col min="6983" max="7000" width="9.140625" style="5"/>
    <col min="7001" max="7003" width="11.140625" style="5" customWidth="1"/>
    <col min="7004" max="7004" width="14.85546875" style="5" bestFit="1" customWidth="1"/>
    <col min="7005" max="7010" width="14.85546875" style="5" customWidth="1"/>
    <col min="7011" max="7014" width="11.140625" style="5" customWidth="1"/>
    <col min="7015" max="7015" width="11" style="5" customWidth="1"/>
    <col min="7016" max="7016" width="13.28515625" style="5" customWidth="1"/>
    <col min="7017" max="7017" width="12.42578125" style="5" customWidth="1"/>
    <col min="7018" max="7026" width="14.85546875" style="5" customWidth="1"/>
    <col min="7027" max="7027" width="13.140625" style="5" customWidth="1"/>
    <col min="7028" max="7028" width="13.7109375" style="5" customWidth="1"/>
    <col min="7029" max="7031" width="13.28515625" style="5" customWidth="1"/>
    <col min="7032" max="7032" width="15.7109375" style="5" customWidth="1"/>
    <col min="7033" max="7033" width="9.140625" style="5"/>
    <col min="7034" max="7034" width="10.28515625" style="5" bestFit="1" customWidth="1"/>
    <col min="7035" max="7035" width="11.5703125" style="5" bestFit="1" customWidth="1"/>
    <col min="7036" max="7036" width="9.140625" style="5" customWidth="1"/>
    <col min="7037" max="7037" width="10.42578125" style="5" customWidth="1"/>
    <col min="7038" max="7039" width="15.85546875" style="5" customWidth="1"/>
    <col min="7040" max="7041" width="16.85546875" style="5" customWidth="1"/>
    <col min="7042" max="7042" width="14.42578125" style="5" customWidth="1"/>
    <col min="7043" max="7044" width="14.28515625" style="5" customWidth="1"/>
    <col min="7045" max="7045" width="14.7109375" style="5" customWidth="1"/>
    <col min="7046" max="7046" width="15.7109375" style="5" customWidth="1"/>
    <col min="7047" max="7047" width="9.140625" style="5"/>
    <col min="7048" max="7048" width="10.28515625" style="5" bestFit="1" customWidth="1"/>
    <col min="7049" max="7049" width="9.140625" style="5"/>
    <col min="7050" max="7050" width="11.5703125" style="5" bestFit="1" customWidth="1"/>
    <col min="7051" max="7051" width="9.28515625" style="5" bestFit="1" customWidth="1"/>
    <col min="7052" max="7052" width="9.140625" style="5"/>
    <col min="7053" max="7053" width="11.7109375" style="5" customWidth="1"/>
    <col min="7054" max="7054" width="10.28515625" style="5" bestFit="1" customWidth="1"/>
    <col min="7055" max="7055" width="9.140625" style="5"/>
    <col min="7056" max="7056" width="11" style="5" bestFit="1" customWidth="1"/>
    <col min="7057" max="7057" width="10" style="5" bestFit="1" customWidth="1"/>
    <col min="7058" max="7058" width="10.28515625" style="5" bestFit="1" customWidth="1"/>
    <col min="7059" max="7059" width="9.28515625" style="5" bestFit="1" customWidth="1"/>
    <col min="7060" max="7060" width="11.28515625" style="5" bestFit="1" customWidth="1"/>
    <col min="7061" max="7061" width="9.42578125" style="5" bestFit="1" customWidth="1"/>
    <col min="7062" max="7062" width="8.140625" style="5" bestFit="1" customWidth="1"/>
    <col min="7063" max="7063" width="10" style="5" bestFit="1" customWidth="1"/>
    <col min="7064" max="7064" width="10.28515625" style="5" bestFit="1" customWidth="1"/>
    <col min="7065" max="7065" width="8.7109375" style="5" customWidth="1"/>
    <col min="7066" max="7066" width="10.28515625" style="5" bestFit="1" customWidth="1"/>
    <col min="7067" max="7067" width="11.28515625" style="5" bestFit="1" customWidth="1"/>
    <col min="7068" max="7068" width="10.85546875" style="5" bestFit="1" customWidth="1"/>
    <col min="7069" max="7069" width="9.85546875" style="5" bestFit="1" customWidth="1"/>
    <col min="7070" max="7071" width="9.140625" style="5"/>
    <col min="7072" max="7072" width="9.85546875" style="5" bestFit="1" customWidth="1"/>
    <col min="7073" max="7076" width="9.140625" style="5"/>
    <col min="7077" max="7077" width="13.5703125" style="5" bestFit="1" customWidth="1"/>
    <col min="7078" max="7078" width="10.28515625" style="5" bestFit="1" customWidth="1"/>
    <col min="7079" max="7193" width="9.140625" style="5"/>
    <col min="7194" max="7194" width="3.7109375" style="5" customWidth="1"/>
    <col min="7195" max="7195" width="26.5703125" style="5" customWidth="1"/>
    <col min="7196" max="7197" width="13.7109375" style="5" customWidth="1"/>
    <col min="7198" max="7198" width="11.42578125" style="5" customWidth="1"/>
    <col min="7199" max="7199" width="13.42578125" style="5" customWidth="1"/>
    <col min="7200" max="7200" width="11.140625" style="5" customWidth="1"/>
    <col min="7201" max="7201" width="10.28515625" style="5" customWidth="1"/>
    <col min="7202" max="7202" width="9.42578125" style="5" customWidth="1"/>
    <col min="7203" max="7203" width="8.140625" style="5" customWidth="1"/>
    <col min="7204" max="7204" width="11.42578125" style="5" customWidth="1"/>
    <col min="7205" max="7205" width="7.7109375" style="5" customWidth="1"/>
    <col min="7206" max="7206" width="9" style="5" customWidth="1"/>
    <col min="7207" max="7208" width="9.140625" style="5" customWidth="1"/>
    <col min="7209" max="7213" width="9.140625" style="5"/>
    <col min="7214" max="7214" width="9" style="5" customWidth="1"/>
    <col min="7215" max="7215" width="9.140625" style="5"/>
    <col min="7216" max="7216" width="15.140625" style="5" customWidth="1"/>
    <col min="7217" max="7225" width="9.140625" style="5"/>
    <col min="7226" max="7226" width="10.5703125" style="5" customWidth="1"/>
    <col min="7227" max="7231" width="9.140625" style="5"/>
    <col min="7232" max="7232" width="9" style="5" bestFit="1" customWidth="1"/>
    <col min="7233" max="7233" width="12.140625" style="5" customWidth="1"/>
    <col min="7234" max="7234" width="13.28515625" style="5" customWidth="1"/>
    <col min="7235" max="7235" width="9.140625" style="5"/>
    <col min="7236" max="7236" width="13.140625" style="5" customWidth="1"/>
    <col min="7237" max="7237" width="11.5703125" style="5" customWidth="1"/>
    <col min="7238" max="7238" width="15.42578125" style="5" bestFit="1" customWidth="1"/>
    <col min="7239" max="7256" width="9.140625" style="5"/>
    <col min="7257" max="7259" width="11.140625" style="5" customWidth="1"/>
    <col min="7260" max="7260" width="14.85546875" style="5" bestFit="1" customWidth="1"/>
    <col min="7261" max="7266" width="14.85546875" style="5" customWidth="1"/>
    <col min="7267" max="7270" width="11.140625" style="5" customWidth="1"/>
    <col min="7271" max="7271" width="11" style="5" customWidth="1"/>
    <col min="7272" max="7272" width="13.28515625" style="5" customWidth="1"/>
    <col min="7273" max="7273" width="12.42578125" style="5" customWidth="1"/>
    <col min="7274" max="7282" width="14.85546875" style="5" customWidth="1"/>
    <col min="7283" max="7283" width="13.140625" style="5" customWidth="1"/>
    <col min="7284" max="7284" width="13.7109375" style="5" customWidth="1"/>
    <col min="7285" max="7287" width="13.28515625" style="5" customWidth="1"/>
    <col min="7288" max="7288" width="15.7109375" style="5" customWidth="1"/>
    <col min="7289" max="7289" width="9.140625" style="5"/>
    <col min="7290" max="7290" width="10.28515625" style="5" bestFit="1" customWidth="1"/>
    <col min="7291" max="7291" width="11.5703125" style="5" bestFit="1" customWidth="1"/>
    <col min="7292" max="7292" width="9.140625" style="5" customWidth="1"/>
    <col min="7293" max="7293" width="10.42578125" style="5" customWidth="1"/>
    <col min="7294" max="7295" width="15.85546875" style="5" customWidth="1"/>
    <col min="7296" max="7297" width="16.85546875" style="5" customWidth="1"/>
    <col min="7298" max="7298" width="14.42578125" style="5" customWidth="1"/>
    <col min="7299" max="7300" width="14.28515625" style="5" customWidth="1"/>
    <col min="7301" max="7301" width="14.7109375" style="5" customWidth="1"/>
    <col min="7302" max="7302" width="15.7109375" style="5" customWidth="1"/>
    <col min="7303" max="7303" width="9.140625" style="5"/>
    <col min="7304" max="7304" width="10.28515625" style="5" bestFit="1" customWidth="1"/>
    <col min="7305" max="7305" width="9.140625" style="5"/>
    <col min="7306" max="7306" width="11.5703125" style="5" bestFit="1" customWidth="1"/>
    <col min="7307" max="7307" width="9.28515625" style="5" bestFit="1" customWidth="1"/>
    <col min="7308" max="7308" width="9.140625" style="5"/>
    <col min="7309" max="7309" width="11.7109375" style="5" customWidth="1"/>
    <col min="7310" max="7310" width="10.28515625" style="5" bestFit="1" customWidth="1"/>
    <col min="7311" max="7311" width="9.140625" style="5"/>
    <col min="7312" max="7312" width="11" style="5" bestFit="1" customWidth="1"/>
    <col min="7313" max="7313" width="10" style="5" bestFit="1" customWidth="1"/>
    <col min="7314" max="7314" width="10.28515625" style="5" bestFit="1" customWidth="1"/>
    <col min="7315" max="7315" width="9.28515625" style="5" bestFit="1" customWidth="1"/>
    <col min="7316" max="7316" width="11.28515625" style="5" bestFit="1" customWidth="1"/>
    <col min="7317" max="7317" width="9.42578125" style="5" bestFit="1" customWidth="1"/>
    <col min="7318" max="7318" width="8.140625" style="5" bestFit="1" customWidth="1"/>
    <col min="7319" max="7319" width="10" style="5" bestFit="1" customWidth="1"/>
    <col min="7320" max="7320" width="10.28515625" style="5" bestFit="1" customWidth="1"/>
    <col min="7321" max="7321" width="8.7109375" style="5" customWidth="1"/>
    <col min="7322" max="7322" width="10.28515625" style="5" bestFit="1" customWidth="1"/>
    <col min="7323" max="7323" width="11.28515625" style="5" bestFit="1" customWidth="1"/>
    <col min="7324" max="7324" width="10.85546875" style="5" bestFit="1" customWidth="1"/>
    <col min="7325" max="7325" width="9.85546875" style="5" bestFit="1" customWidth="1"/>
    <col min="7326" max="7327" width="9.140625" style="5"/>
    <col min="7328" max="7328" width="9.85546875" style="5" bestFit="1" customWidth="1"/>
    <col min="7329" max="7332" width="9.140625" style="5"/>
    <col min="7333" max="7333" width="13.5703125" style="5" bestFit="1" customWidth="1"/>
    <col min="7334" max="7334" width="10.28515625" style="5" bestFit="1" customWidth="1"/>
    <col min="7335" max="7449" width="9.140625" style="5"/>
    <col min="7450" max="7450" width="3.7109375" style="5" customWidth="1"/>
    <col min="7451" max="7451" width="26.5703125" style="5" customWidth="1"/>
    <col min="7452" max="7453" width="13.7109375" style="5" customWidth="1"/>
    <col min="7454" max="7454" width="11.42578125" style="5" customWidth="1"/>
    <col min="7455" max="7455" width="13.42578125" style="5" customWidth="1"/>
    <col min="7456" max="7456" width="11.140625" style="5" customWidth="1"/>
    <col min="7457" max="7457" width="10.28515625" style="5" customWidth="1"/>
    <col min="7458" max="7458" width="9.42578125" style="5" customWidth="1"/>
    <col min="7459" max="7459" width="8.140625" style="5" customWidth="1"/>
    <col min="7460" max="7460" width="11.42578125" style="5" customWidth="1"/>
    <col min="7461" max="7461" width="7.7109375" style="5" customWidth="1"/>
    <col min="7462" max="7462" width="9" style="5" customWidth="1"/>
    <col min="7463" max="7464" width="9.140625" style="5" customWidth="1"/>
    <col min="7465" max="7469" width="9.140625" style="5"/>
    <col min="7470" max="7470" width="9" style="5" customWidth="1"/>
    <col min="7471" max="7471" width="9.140625" style="5"/>
    <col min="7472" max="7472" width="15.140625" style="5" customWidth="1"/>
    <col min="7473" max="7481" width="9.140625" style="5"/>
    <col min="7482" max="7482" width="10.5703125" style="5" customWidth="1"/>
    <col min="7483" max="7487" width="9.140625" style="5"/>
    <col min="7488" max="7488" width="9" style="5" bestFit="1" customWidth="1"/>
    <col min="7489" max="7489" width="12.140625" style="5" customWidth="1"/>
    <col min="7490" max="7490" width="13.28515625" style="5" customWidth="1"/>
    <col min="7491" max="7491" width="9.140625" style="5"/>
    <col min="7492" max="7492" width="13.140625" style="5" customWidth="1"/>
    <col min="7493" max="7493" width="11.5703125" style="5" customWidth="1"/>
    <col min="7494" max="7494" width="15.42578125" style="5" bestFit="1" customWidth="1"/>
    <col min="7495" max="7512" width="9.140625" style="5"/>
    <col min="7513" max="7515" width="11.140625" style="5" customWidth="1"/>
    <col min="7516" max="7516" width="14.85546875" style="5" bestFit="1" customWidth="1"/>
    <col min="7517" max="7522" width="14.85546875" style="5" customWidth="1"/>
    <col min="7523" max="7526" width="11.140625" style="5" customWidth="1"/>
    <col min="7527" max="7527" width="11" style="5" customWidth="1"/>
    <col min="7528" max="7528" width="13.28515625" style="5" customWidth="1"/>
    <col min="7529" max="7529" width="12.42578125" style="5" customWidth="1"/>
    <col min="7530" max="7538" width="14.85546875" style="5" customWidth="1"/>
    <col min="7539" max="7539" width="13.140625" style="5" customWidth="1"/>
    <col min="7540" max="7540" width="13.7109375" style="5" customWidth="1"/>
    <col min="7541" max="7543" width="13.28515625" style="5" customWidth="1"/>
    <col min="7544" max="7544" width="15.7109375" style="5" customWidth="1"/>
    <col min="7545" max="7545" width="9.140625" style="5"/>
    <col min="7546" max="7546" width="10.28515625" style="5" bestFit="1" customWidth="1"/>
    <col min="7547" max="7547" width="11.5703125" style="5" bestFit="1" customWidth="1"/>
    <col min="7548" max="7548" width="9.140625" style="5" customWidth="1"/>
    <col min="7549" max="7549" width="10.42578125" style="5" customWidth="1"/>
    <col min="7550" max="7551" width="15.85546875" style="5" customWidth="1"/>
    <col min="7552" max="7553" width="16.85546875" style="5" customWidth="1"/>
    <col min="7554" max="7554" width="14.42578125" style="5" customWidth="1"/>
    <col min="7555" max="7556" width="14.28515625" style="5" customWidth="1"/>
    <col min="7557" max="7557" width="14.7109375" style="5" customWidth="1"/>
    <col min="7558" max="7558" width="15.7109375" style="5" customWidth="1"/>
    <col min="7559" max="7559" width="9.140625" style="5"/>
    <col min="7560" max="7560" width="10.28515625" style="5" bestFit="1" customWidth="1"/>
    <col min="7561" max="7561" width="9.140625" style="5"/>
    <col min="7562" max="7562" width="11.5703125" style="5" bestFit="1" customWidth="1"/>
    <col min="7563" max="7563" width="9.28515625" style="5" bestFit="1" customWidth="1"/>
    <col min="7564" max="7564" width="9.140625" style="5"/>
    <col min="7565" max="7565" width="11.7109375" style="5" customWidth="1"/>
    <col min="7566" max="7566" width="10.28515625" style="5" bestFit="1" customWidth="1"/>
    <col min="7567" max="7567" width="9.140625" style="5"/>
    <col min="7568" max="7568" width="11" style="5" bestFit="1" customWidth="1"/>
    <col min="7569" max="7569" width="10" style="5" bestFit="1" customWidth="1"/>
    <col min="7570" max="7570" width="10.28515625" style="5" bestFit="1" customWidth="1"/>
    <col min="7571" max="7571" width="9.28515625" style="5" bestFit="1" customWidth="1"/>
    <col min="7572" max="7572" width="11.28515625" style="5" bestFit="1" customWidth="1"/>
    <col min="7573" max="7573" width="9.42578125" style="5" bestFit="1" customWidth="1"/>
    <col min="7574" max="7574" width="8.140625" style="5" bestFit="1" customWidth="1"/>
    <col min="7575" max="7575" width="10" style="5" bestFit="1" customWidth="1"/>
    <col min="7576" max="7576" width="10.28515625" style="5" bestFit="1" customWidth="1"/>
    <col min="7577" max="7577" width="8.7109375" style="5" customWidth="1"/>
    <col min="7578" max="7578" width="10.28515625" style="5" bestFit="1" customWidth="1"/>
    <col min="7579" max="7579" width="11.28515625" style="5" bestFit="1" customWidth="1"/>
    <col min="7580" max="7580" width="10.85546875" style="5" bestFit="1" customWidth="1"/>
    <col min="7581" max="7581" width="9.85546875" style="5" bestFit="1" customWidth="1"/>
    <col min="7582" max="7583" width="9.140625" style="5"/>
    <col min="7584" max="7584" width="9.85546875" style="5" bestFit="1" customWidth="1"/>
    <col min="7585" max="7588" width="9.140625" style="5"/>
    <col min="7589" max="7589" width="13.5703125" style="5" bestFit="1" customWidth="1"/>
    <col min="7590" max="7590" width="10.28515625" style="5" bestFit="1" customWidth="1"/>
    <col min="7591" max="7705" width="9.140625" style="5"/>
    <col min="7706" max="7706" width="3.7109375" style="5" customWidth="1"/>
    <col min="7707" max="7707" width="26.5703125" style="5" customWidth="1"/>
    <col min="7708" max="7709" width="13.7109375" style="5" customWidth="1"/>
    <col min="7710" max="7710" width="11.42578125" style="5" customWidth="1"/>
    <col min="7711" max="7711" width="13.42578125" style="5" customWidth="1"/>
    <col min="7712" max="7712" width="11.140625" style="5" customWidth="1"/>
    <col min="7713" max="7713" width="10.28515625" style="5" customWidth="1"/>
    <col min="7714" max="7714" width="9.42578125" style="5" customWidth="1"/>
    <col min="7715" max="7715" width="8.140625" style="5" customWidth="1"/>
    <col min="7716" max="7716" width="11.42578125" style="5" customWidth="1"/>
    <col min="7717" max="7717" width="7.7109375" style="5" customWidth="1"/>
    <col min="7718" max="7718" width="9" style="5" customWidth="1"/>
    <col min="7719" max="7720" width="9.140625" style="5" customWidth="1"/>
    <col min="7721" max="7725" width="9.140625" style="5"/>
    <col min="7726" max="7726" width="9" style="5" customWidth="1"/>
    <col min="7727" max="7727" width="9.140625" style="5"/>
    <col min="7728" max="7728" width="15.140625" style="5" customWidth="1"/>
    <col min="7729" max="7737" width="9.140625" style="5"/>
    <col min="7738" max="7738" width="10.5703125" style="5" customWidth="1"/>
    <col min="7739" max="7743" width="9.140625" style="5"/>
    <col min="7744" max="7744" width="9" style="5" bestFit="1" customWidth="1"/>
    <col min="7745" max="7745" width="12.140625" style="5" customWidth="1"/>
    <col min="7746" max="7746" width="13.28515625" style="5" customWidth="1"/>
    <col min="7747" max="7747" width="9.140625" style="5"/>
    <col min="7748" max="7748" width="13.140625" style="5" customWidth="1"/>
    <col min="7749" max="7749" width="11.5703125" style="5" customWidth="1"/>
    <col min="7750" max="7750" width="15.42578125" style="5" bestFit="1" customWidth="1"/>
    <col min="7751" max="7768" width="9.140625" style="5"/>
    <col min="7769" max="7771" width="11.140625" style="5" customWidth="1"/>
    <col min="7772" max="7772" width="14.85546875" style="5" bestFit="1" customWidth="1"/>
    <col min="7773" max="7778" width="14.85546875" style="5" customWidth="1"/>
    <col min="7779" max="7782" width="11.140625" style="5" customWidth="1"/>
    <col min="7783" max="7783" width="11" style="5" customWidth="1"/>
    <col min="7784" max="7784" width="13.28515625" style="5" customWidth="1"/>
    <col min="7785" max="7785" width="12.42578125" style="5" customWidth="1"/>
    <col min="7786" max="7794" width="14.85546875" style="5" customWidth="1"/>
    <col min="7795" max="7795" width="13.140625" style="5" customWidth="1"/>
    <col min="7796" max="7796" width="13.7109375" style="5" customWidth="1"/>
    <col min="7797" max="7799" width="13.28515625" style="5" customWidth="1"/>
    <col min="7800" max="7800" width="15.7109375" style="5" customWidth="1"/>
    <col min="7801" max="7801" width="9.140625" style="5"/>
    <col min="7802" max="7802" width="10.28515625" style="5" bestFit="1" customWidth="1"/>
    <col min="7803" max="7803" width="11.5703125" style="5" bestFit="1" customWidth="1"/>
    <col min="7804" max="7804" width="9.140625" style="5" customWidth="1"/>
    <col min="7805" max="7805" width="10.42578125" style="5" customWidth="1"/>
    <col min="7806" max="7807" width="15.85546875" style="5" customWidth="1"/>
    <col min="7808" max="7809" width="16.85546875" style="5" customWidth="1"/>
    <col min="7810" max="7810" width="14.42578125" style="5" customWidth="1"/>
    <col min="7811" max="7812" width="14.28515625" style="5" customWidth="1"/>
    <col min="7813" max="7813" width="14.7109375" style="5" customWidth="1"/>
    <col min="7814" max="7814" width="15.7109375" style="5" customWidth="1"/>
    <col min="7815" max="7815" width="9.140625" style="5"/>
    <col min="7816" max="7816" width="10.28515625" style="5" bestFit="1" customWidth="1"/>
    <col min="7817" max="7817" width="9.140625" style="5"/>
    <col min="7818" max="7818" width="11.5703125" style="5" bestFit="1" customWidth="1"/>
    <col min="7819" max="7819" width="9.28515625" style="5" bestFit="1" customWidth="1"/>
    <col min="7820" max="7820" width="9.140625" style="5"/>
    <col min="7821" max="7821" width="11.7109375" style="5" customWidth="1"/>
    <col min="7822" max="7822" width="10.28515625" style="5" bestFit="1" customWidth="1"/>
    <col min="7823" max="7823" width="9.140625" style="5"/>
    <col min="7824" max="7824" width="11" style="5" bestFit="1" customWidth="1"/>
    <col min="7825" max="7825" width="10" style="5" bestFit="1" customWidth="1"/>
    <col min="7826" max="7826" width="10.28515625" style="5" bestFit="1" customWidth="1"/>
    <col min="7827" max="7827" width="9.28515625" style="5" bestFit="1" customWidth="1"/>
    <col min="7828" max="7828" width="11.28515625" style="5" bestFit="1" customWidth="1"/>
    <col min="7829" max="7829" width="9.42578125" style="5" bestFit="1" customWidth="1"/>
    <col min="7830" max="7830" width="8.140625" style="5" bestFit="1" customWidth="1"/>
    <col min="7831" max="7831" width="10" style="5" bestFit="1" customWidth="1"/>
    <col min="7832" max="7832" width="10.28515625" style="5" bestFit="1" customWidth="1"/>
    <col min="7833" max="7833" width="8.7109375" style="5" customWidth="1"/>
    <col min="7834" max="7834" width="10.28515625" style="5" bestFit="1" customWidth="1"/>
    <col min="7835" max="7835" width="11.28515625" style="5" bestFit="1" customWidth="1"/>
    <col min="7836" max="7836" width="10.85546875" style="5" bestFit="1" customWidth="1"/>
    <col min="7837" max="7837" width="9.85546875" style="5" bestFit="1" customWidth="1"/>
    <col min="7838" max="7839" width="9.140625" style="5"/>
    <col min="7840" max="7840" width="9.85546875" style="5" bestFit="1" customWidth="1"/>
    <col min="7841" max="7844" width="9.140625" style="5"/>
    <col min="7845" max="7845" width="13.5703125" style="5" bestFit="1" customWidth="1"/>
    <col min="7846" max="7846" width="10.28515625" style="5" bestFit="1" customWidth="1"/>
    <col min="7847" max="7961" width="9.140625" style="5"/>
    <col min="7962" max="7962" width="3.7109375" style="5" customWidth="1"/>
    <col min="7963" max="7963" width="26.5703125" style="5" customWidth="1"/>
    <col min="7964" max="7965" width="13.7109375" style="5" customWidth="1"/>
    <col min="7966" max="7966" width="11.42578125" style="5" customWidth="1"/>
    <col min="7967" max="7967" width="13.42578125" style="5" customWidth="1"/>
    <col min="7968" max="7968" width="11.140625" style="5" customWidth="1"/>
    <col min="7969" max="7969" width="10.28515625" style="5" customWidth="1"/>
    <col min="7970" max="7970" width="9.42578125" style="5" customWidth="1"/>
    <col min="7971" max="7971" width="8.140625" style="5" customWidth="1"/>
    <col min="7972" max="7972" width="11.42578125" style="5" customWidth="1"/>
    <col min="7973" max="7973" width="7.7109375" style="5" customWidth="1"/>
    <col min="7974" max="7974" width="9" style="5" customWidth="1"/>
    <col min="7975" max="7976" width="9.140625" style="5" customWidth="1"/>
    <col min="7977" max="7981" width="9.140625" style="5"/>
    <col min="7982" max="7982" width="9" style="5" customWidth="1"/>
    <col min="7983" max="7983" width="9.140625" style="5"/>
    <col min="7984" max="7984" width="15.140625" style="5" customWidth="1"/>
    <col min="7985" max="7993" width="9.140625" style="5"/>
    <col min="7994" max="7994" width="10.5703125" style="5" customWidth="1"/>
    <col min="7995" max="7999" width="9.140625" style="5"/>
    <col min="8000" max="8000" width="9" style="5" bestFit="1" customWidth="1"/>
    <col min="8001" max="8001" width="12.140625" style="5" customWidth="1"/>
    <col min="8002" max="8002" width="13.28515625" style="5" customWidth="1"/>
    <col min="8003" max="8003" width="9.140625" style="5"/>
    <col min="8004" max="8004" width="13.140625" style="5" customWidth="1"/>
    <col min="8005" max="8005" width="11.5703125" style="5" customWidth="1"/>
    <col min="8006" max="8006" width="15.42578125" style="5" bestFit="1" customWidth="1"/>
    <col min="8007" max="8024" width="9.140625" style="5"/>
    <col min="8025" max="8027" width="11.140625" style="5" customWidth="1"/>
    <col min="8028" max="8028" width="14.85546875" style="5" bestFit="1" customWidth="1"/>
    <col min="8029" max="8034" width="14.85546875" style="5" customWidth="1"/>
    <col min="8035" max="8038" width="11.140625" style="5" customWidth="1"/>
    <col min="8039" max="8039" width="11" style="5" customWidth="1"/>
    <col min="8040" max="8040" width="13.28515625" style="5" customWidth="1"/>
    <col min="8041" max="8041" width="12.42578125" style="5" customWidth="1"/>
    <col min="8042" max="8050" width="14.85546875" style="5" customWidth="1"/>
    <col min="8051" max="8051" width="13.140625" style="5" customWidth="1"/>
    <col min="8052" max="8052" width="13.7109375" style="5" customWidth="1"/>
    <col min="8053" max="8055" width="13.28515625" style="5" customWidth="1"/>
    <col min="8056" max="8056" width="15.7109375" style="5" customWidth="1"/>
    <col min="8057" max="8057" width="9.140625" style="5"/>
    <col min="8058" max="8058" width="10.28515625" style="5" bestFit="1" customWidth="1"/>
    <col min="8059" max="8059" width="11.5703125" style="5" bestFit="1" customWidth="1"/>
    <col min="8060" max="8060" width="9.140625" style="5" customWidth="1"/>
    <col min="8061" max="8061" width="10.42578125" style="5" customWidth="1"/>
    <col min="8062" max="8063" width="15.85546875" style="5" customWidth="1"/>
    <col min="8064" max="8065" width="16.85546875" style="5" customWidth="1"/>
    <col min="8066" max="8066" width="14.42578125" style="5" customWidth="1"/>
    <col min="8067" max="8068" width="14.28515625" style="5" customWidth="1"/>
    <col min="8069" max="8069" width="14.7109375" style="5" customWidth="1"/>
    <col min="8070" max="8070" width="15.7109375" style="5" customWidth="1"/>
    <col min="8071" max="8071" width="9.140625" style="5"/>
    <col min="8072" max="8072" width="10.28515625" style="5" bestFit="1" customWidth="1"/>
    <col min="8073" max="8073" width="9.140625" style="5"/>
    <col min="8074" max="8074" width="11.5703125" style="5" bestFit="1" customWidth="1"/>
    <col min="8075" max="8075" width="9.28515625" style="5" bestFit="1" customWidth="1"/>
    <col min="8076" max="8076" width="9.140625" style="5"/>
    <col min="8077" max="8077" width="11.7109375" style="5" customWidth="1"/>
    <col min="8078" max="8078" width="10.28515625" style="5" bestFit="1" customWidth="1"/>
    <col min="8079" max="8079" width="9.140625" style="5"/>
    <col min="8080" max="8080" width="11" style="5" bestFit="1" customWidth="1"/>
    <col min="8081" max="8081" width="10" style="5" bestFit="1" customWidth="1"/>
    <col min="8082" max="8082" width="10.28515625" style="5" bestFit="1" customWidth="1"/>
    <col min="8083" max="8083" width="9.28515625" style="5" bestFit="1" customWidth="1"/>
    <col min="8084" max="8084" width="11.28515625" style="5" bestFit="1" customWidth="1"/>
    <col min="8085" max="8085" width="9.42578125" style="5" bestFit="1" customWidth="1"/>
    <col min="8086" max="8086" width="8.140625" style="5" bestFit="1" customWidth="1"/>
    <col min="8087" max="8087" width="10" style="5" bestFit="1" customWidth="1"/>
    <col min="8088" max="8088" width="10.28515625" style="5" bestFit="1" customWidth="1"/>
    <col min="8089" max="8089" width="8.7109375" style="5" customWidth="1"/>
    <col min="8090" max="8090" width="10.28515625" style="5" bestFit="1" customWidth="1"/>
    <col min="8091" max="8091" width="11.28515625" style="5" bestFit="1" customWidth="1"/>
    <col min="8092" max="8092" width="10.85546875" style="5" bestFit="1" customWidth="1"/>
    <col min="8093" max="8093" width="9.85546875" style="5" bestFit="1" customWidth="1"/>
    <col min="8094" max="8095" width="9.140625" style="5"/>
    <col min="8096" max="8096" width="9.85546875" style="5" bestFit="1" customWidth="1"/>
    <col min="8097" max="8100" width="9.140625" style="5"/>
    <col min="8101" max="8101" width="13.5703125" style="5" bestFit="1" customWidth="1"/>
    <col min="8102" max="8102" width="10.28515625" style="5" bestFit="1" customWidth="1"/>
    <col min="8103" max="8217" width="9.140625" style="5"/>
    <col min="8218" max="8218" width="3.7109375" style="5" customWidth="1"/>
    <col min="8219" max="8219" width="26.5703125" style="5" customWidth="1"/>
    <col min="8220" max="8221" width="13.7109375" style="5" customWidth="1"/>
    <col min="8222" max="8222" width="11.42578125" style="5" customWidth="1"/>
    <col min="8223" max="8223" width="13.42578125" style="5" customWidth="1"/>
    <col min="8224" max="8224" width="11.140625" style="5" customWidth="1"/>
    <col min="8225" max="8225" width="10.28515625" style="5" customWidth="1"/>
    <col min="8226" max="8226" width="9.42578125" style="5" customWidth="1"/>
    <col min="8227" max="8227" width="8.140625" style="5" customWidth="1"/>
    <col min="8228" max="8228" width="11.42578125" style="5" customWidth="1"/>
    <col min="8229" max="8229" width="7.7109375" style="5" customWidth="1"/>
    <col min="8230" max="8230" width="9" style="5" customWidth="1"/>
    <col min="8231" max="8232" width="9.140625" style="5" customWidth="1"/>
    <col min="8233" max="8237" width="9.140625" style="5"/>
    <col min="8238" max="8238" width="9" style="5" customWidth="1"/>
    <col min="8239" max="8239" width="9.140625" style="5"/>
    <col min="8240" max="8240" width="15.140625" style="5" customWidth="1"/>
    <col min="8241" max="8249" width="9.140625" style="5"/>
    <col min="8250" max="8250" width="10.5703125" style="5" customWidth="1"/>
    <col min="8251" max="8255" width="9.140625" style="5"/>
    <col min="8256" max="8256" width="9" style="5" bestFit="1" customWidth="1"/>
    <col min="8257" max="8257" width="12.140625" style="5" customWidth="1"/>
    <col min="8258" max="8258" width="13.28515625" style="5" customWidth="1"/>
    <col min="8259" max="8259" width="9.140625" style="5"/>
    <col min="8260" max="8260" width="13.140625" style="5" customWidth="1"/>
    <col min="8261" max="8261" width="11.5703125" style="5" customWidth="1"/>
    <col min="8262" max="8262" width="15.42578125" style="5" bestFit="1" customWidth="1"/>
    <col min="8263" max="8280" width="9.140625" style="5"/>
    <col min="8281" max="8283" width="11.140625" style="5" customWidth="1"/>
    <col min="8284" max="8284" width="14.85546875" style="5" bestFit="1" customWidth="1"/>
    <col min="8285" max="8290" width="14.85546875" style="5" customWidth="1"/>
    <col min="8291" max="8294" width="11.140625" style="5" customWidth="1"/>
    <col min="8295" max="8295" width="11" style="5" customWidth="1"/>
    <col min="8296" max="8296" width="13.28515625" style="5" customWidth="1"/>
    <col min="8297" max="8297" width="12.42578125" style="5" customWidth="1"/>
    <col min="8298" max="8306" width="14.85546875" style="5" customWidth="1"/>
    <col min="8307" max="8307" width="13.140625" style="5" customWidth="1"/>
    <col min="8308" max="8308" width="13.7109375" style="5" customWidth="1"/>
    <col min="8309" max="8311" width="13.28515625" style="5" customWidth="1"/>
    <col min="8312" max="8312" width="15.7109375" style="5" customWidth="1"/>
    <col min="8313" max="8313" width="9.140625" style="5"/>
    <col min="8314" max="8314" width="10.28515625" style="5" bestFit="1" customWidth="1"/>
    <col min="8315" max="8315" width="11.5703125" style="5" bestFit="1" customWidth="1"/>
    <col min="8316" max="8316" width="9.140625" style="5" customWidth="1"/>
    <col min="8317" max="8317" width="10.42578125" style="5" customWidth="1"/>
    <col min="8318" max="8319" width="15.85546875" style="5" customWidth="1"/>
    <col min="8320" max="8321" width="16.85546875" style="5" customWidth="1"/>
    <col min="8322" max="8322" width="14.42578125" style="5" customWidth="1"/>
    <col min="8323" max="8324" width="14.28515625" style="5" customWidth="1"/>
    <col min="8325" max="8325" width="14.7109375" style="5" customWidth="1"/>
    <col min="8326" max="8326" width="15.7109375" style="5" customWidth="1"/>
    <col min="8327" max="8327" width="9.140625" style="5"/>
    <col min="8328" max="8328" width="10.28515625" style="5" bestFit="1" customWidth="1"/>
    <col min="8329" max="8329" width="9.140625" style="5"/>
    <col min="8330" max="8330" width="11.5703125" style="5" bestFit="1" customWidth="1"/>
    <col min="8331" max="8331" width="9.28515625" style="5" bestFit="1" customWidth="1"/>
    <col min="8332" max="8332" width="9.140625" style="5"/>
    <col min="8333" max="8333" width="11.7109375" style="5" customWidth="1"/>
    <col min="8334" max="8334" width="10.28515625" style="5" bestFit="1" customWidth="1"/>
    <col min="8335" max="8335" width="9.140625" style="5"/>
    <col min="8336" max="8336" width="11" style="5" bestFit="1" customWidth="1"/>
    <col min="8337" max="8337" width="10" style="5" bestFit="1" customWidth="1"/>
    <col min="8338" max="8338" width="10.28515625" style="5" bestFit="1" customWidth="1"/>
    <col min="8339" max="8339" width="9.28515625" style="5" bestFit="1" customWidth="1"/>
    <col min="8340" max="8340" width="11.28515625" style="5" bestFit="1" customWidth="1"/>
    <col min="8341" max="8341" width="9.42578125" style="5" bestFit="1" customWidth="1"/>
    <col min="8342" max="8342" width="8.140625" style="5" bestFit="1" customWidth="1"/>
    <col min="8343" max="8343" width="10" style="5" bestFit="1" customWidth="1"/>
    <col min="8344" max="8344" width="10.28515625" style="5" bestFit="1" customWidth="1"/>
    <col min="8345" max="8345" width="8.7109375" style="5" customWidth="1"/>
    <col min="8346" max="8346" width="10.28515625" style="5" bestFit="1" customWidth="1"/>
    <col min="8347" max="8347" width="11.28515625" style="5" bestFit="1" customWidth="1"/>
    <col min="8348" max="8348" width="10.85546875" style="5" bestFit="1" customWidth="1"/>
    <col min="8349" max="8349" width="9.85546875" style="5" bestFit="1" customWidth="1"/>
    <col min="8350" max="8351" width="9.140625" style="5"/>
    <col min="8352" max="8352" width="9.85546875" style="5" bestFit="1" customWidth="1"/>
    <col min="8353" max="8356" width="9.140625" style="5"/>
    <col min="8357" max="8357" width="13.5703125" style="5" bestFit="1" customWidth="1"/>
    <col min="8358" max="8358" width="10.28515625" style="5" bestFit="1" customWidth="1"/>
    <col min="8359" max="8473" width="9.140625" style="5"/>
    <col min="8474" max="8474" width="3.7109375" style="5" customWidth="1"/>
    <col min="8475" max="8475" width="26.5703125" style="5" customWidth="1"/>
    <col min="8476" max="8477" width="13.7109375" style="5" customWidth="1"/>
    <col min="8478" max="8478" width="11.42578125" style="5" customWidth="1"/>
    <col min="8479" max="8479" width="13.42578125" style="5" customWidth="1"/>
    <col min="8480" max="8480" width="11.140625" style="5" customWidth="1"/>
    <col min="8481" max="8481" width="10.28515625" style="5" customWidth="1"/>
    <col min="8482" max="8482" width="9.42578125" style="5" customWidth="1"/>
    <col min="8483" max="8483" width="8.140625" style="5" customWidth="1"/>
    <col min="8484" max="8484" width="11.42578125" style="5" customWidth="1"/>
    <col min="8485" max="8485" width="7.7109375" style="5" customWidth="1"/>
    <col min="8486" max="8486" width="9" style="5" customWidth="1"/>
    <col min="8487" max="8488" width="9.140625" style="5" customWidth="1"/>
    <col min="8489" max="8493" width="9.140625" style="5"/>
    <col min="8494" max="8494" width="9" style="5" customWidth="1"/>
    <col min="8495" max="8495" width="9.140625" style="5"/>
    <col min="8496" max="8496" width="15.140625" style="5" customWidth="1"/>
    <col min="8497" max="8505" width="9.140625" style="5"/>
    <col min="8506" max="8506" width="10.5703125" style="5" customWidth="1"/>
    <col min="8507" max="8511" width="9.140625" style="5"/>
    <col min="8512" max="8512" width="9" style="5" bestFit="1" customWidth="1"/>
    <col min="8513" max="8513" width="12.140625" style="5" customWidth="1"/>
    <col min="8514" max="8514" width="13.28515625" style="5" customWidth="1"/>
    <col min="8515" max="8515" width="9.140625" style="5"/>
    <col min="8516" max="8516" width="13.140625" style="5" customWidth="1"/>
    <col min="8517" max="8517" width="11.5703125" style="5" customWidth="1"/>
    <col min="8518" max="8518" width="15.42578125" style="5" bestFit="1" customWidth="1"/>
    <col min="8519" max="8536" width="9.140625" style="5"/>
    <col min="8537" max="8539" width="11.140625" style="5" customWidth="1"/>
    <col min="8540" max="8540" width="14.85546875" style="5" bestFit="1" customWidth="1"/>
    <col min="8541" max="8546" width="14.85546875" style="5" customWidth="1"/>
    <col min="8547" max="8550" width="11.140625" style="5" customWidth="1"/>
    <col min="8551" max="8551" width="11" style="5" customWidth="1"/>
    <col min="8552" max="8552" width="13.28515625" style="5" customWidth="1"/>
    <col min="8553" max="8553" width="12.42578125" style="5" customWidth="1"/>
    <col min="8554" max="8562" width="14.85546875" style="5" customWidth="1"/>
    <col min="8563" max="8563" width="13.140625" style="5" customWidth="1"/>
    <col min="8564" max="8564" width="13.7109375" style="5" customWidth="1"/>
    <col min="8565" max="8567" width="13.28515625" style="5" customWidth="1"/>
    <col min="8568" max="8568" width="15.7109375" style="5" customWidth="1"/>
    <col min="8569" max="8569" width="9.140625" style="5"/>
    <col min="8570" max="8570" width="10.28515625" style="5" bestFit="1" customWidth="1"/>
    <col min="8571" max="8571" width="11.5703125" style="5" bestFit="1" customWidth="1"/>
    <col min="8572" max="8572" width="9.140625" style="5" customWidth="1"/>
    <col min="8573" max="8573" width="10.42578125" style="5" customWidth="1"/>
    <col min="8574" max="8575" width="15.85546875" style="5" customWidth="1"/>
    <col min="8576" max="8577" width="16.85546875" style="5" customWidth="1"/>
    <col min="8578" max="8578" width="14.42578125" style="5" customWidth="1"/>
    <col min="8579" max="8580" width="14.28515625" style="5" customWidth="1"/>
    <col min="8581" max="8581" width="14.7109375" style="5" customWidth="1"/>
    <col min="8582" max="8582" width="15.7109375" style="5" customWidth="1"/>
    <col min="8583" max="8583" width="9.140625" style="5"/>
    <col min="8584" max="8584" width="10.28515625" style="5" bestFit="1" customWidth="1"/>
    <col min="8585" max="8585" width="9.140625" style="5"/>
    <col min="8586" max="8586" width="11.5703125" style="5" bestFit="1" customWidth="1"/>
    <col min="8587" max="8587" width="9.28515625" style="5" bestFit="1" customWidth="1"/>
    <col min="8588" max="8588" width="9.140625" style="5"/>
    <col min="8589" max="8589" width="11.7109375" style="5" customWidth="1"/>
    <col min="8590" max="8590" width="10.28515625" style="5" bestFit="1" customWidth="1"/>
    <col min="8591" max="8591" width="9.140625" style="5"/>
    <col min="8592" max="8592" width="11" style="5" bestFit="1" customWidth="1"/>
    <col min="8593" max="8593" width="10" style="5" bestFit="1" customWidth="1"/>
    <col min="8594" max="8594" width="10.28515625" style="5" bestFit="1" customWidth="1"/>
    <col min="8595" max="8595" width="9.28515625" style="5" bestFit="1" customWidth="1"/>
    <col min="8596" max="8596" width="11.28515625" style="5" bestFit="1" customWidth="1"/>
    <col min="8597" max="8597" width="9.42578125" style="5" bestFit="1" customWidth="1"/>
    <col min="8598" max="8598" width="8.140625" style="5" bestFit="1" customWidth="1"/>
    <col min="8599" max="8599" width="10" style="5" bestFit="1" customWidth="1"/>
    <col min="8600" max="8600" width="10.28515625" style="5" bestFit="1" customWidth="1"/>
    <col min="8601" max="8601" width="8.7109375" style="5" customWidth="1"/>
    <col min="8602" max="8602" width="10.28515625" style="5" bestFit="1" customWidth="1"/>
    <col min="8603" max="8603" width="11.28515625" style="5" bestFit="1" customWidth="1"/>
    <col min="8604" max="8604" width="10.85546875" style="5" bestFit="1" customWidth="1"/>
    <col min="8605" max="8605" width="9.85546875" style="5" bestFit="1" customWidth="1"/>
    <col min="8606" max="8607" width="9.140625" style="5"/>
    <col min="8608" max="8608" width="9.85546875" style="5" bestFit="1" customWidth="1"/>
    <col min="8609" max="8612" width="9.140625" style="5"/>
    <col min="8613" max="8613" width="13.5703125" style="5" bestFit="1" customWidth="1"/>
    <col min="8614" max="8614" width="10.28515625" style="5" bestFit="1" customWidth="1"/>
    <col min="8615" max="8729" width="9.140625" style="5"/>
    <col min="8730" max="8730" width="3.7109375" style="5" customWidth="1"/>
    <col min="8731" max="8731" width="26.5703125" style="5" customWidth="1"/>
    <col min="8732" max="8733" width="13.7109375" style="5" customWidth="1"/>
    <col min="8734" max="8734" width="11.42578125" style="5" customWidth="1"/>
    <col min="8735" max="8735" width="13.42578125" style="5" customWidth="1"/>
    <col min="8736" max="8736" width="11.140625" style="5" customWidth="1"/>
    <col min="8737" max="8737" width="10.28515625" style="5" customWidth="1"/>
    <col min="8738" max="8738" width="9.42578125" style="5" customWidth="1"/>
    <col min="8739" max="8739" width="8.140625" style="5" customWidth="1"/>
    <col min="8740" max="8740" width="11.42578125" style="5" customWidth="1"/>
    <col min="8741" max="8741" width="7.7109375" style="5" customWidth="1"/>
    <col min="8742" max="8742" width="9" style="5" customWidth="1"/>
    <col min="8743" max="8744" width="9.140625" style="5" customWidth="1"/>
    <col min="8745" max="8749" width="9.140625" style="5"/>
    <col min="8750" max="8750" width="9" style="5" customWidth="1"/>
    <col min="8751" max="8751" width="9.140625" style="5"/>
    <col min="8752" max="8752" width="15.140625" style="5" customWidth="1"/>
    <col min="8753" max="8761" width="9.140625" style="5"/>
    <col min="8762" max="8762" width="10.5703125" style="5" customWidth="1"/>
    <col min="8763" max="8767" width="9.140625" style="5"/>
    <col min="8768" max="8768" width="9" style="5" bestFit="1" customWidth="1"/>
    <col min="8769" max="8769" width="12.140625" style="5" customWidth="1"/>
    <col min="8770" max="8770" width="13.28515625" style="5" customWidth="1"/>
    <col min="8771" max="8771" width="9.140625" style="5"/>
    <col min="8772" max="8772" width="13.140625" style="5" customWidth="1"/>
    <col min="8773" max="8773" width="11.5703125" style="5" customWidth="1"/>
    <col min="8774" max="8774" width="15.42578125" style="5" bestFit="1" customWidth="1"/>
    <col min="8775" max="8792" width="9.140625" style="5"/>
    <col min="8793" max="8795" width="11.140625" style="5" customWidth="1"/>
    <col min="8796" max="8796" width="14.85546875" style="5" bestFit="1" customWidth="1"/>
    <col min="8797" max="8802" width="14.85546875" style="5" customWidth="1"/>
    <col min="8803" max="8806" width="11.140625" style="5" customWidth="1"/>
    <col min="8807" max="8807" width="11" style="5" customWidth="1"/>
    <col min="8808" max="8808" width="13.28515625" style="5" customWidth="1"/>
    <col min="8809" max="8809" width="12.42578125" style="5" customWidth="1"/>
    <col min="8810" max="8818" width="14.85546875" style="5" customWidth="1"/>
    <col min="8819" max="8819" width="13.140625" style="5" customWidth="1"/>
    <col min="8820" max="8820" width="13.7109375" style="5" customWidth="1"/>
    <col min="8821" max="8823" width="13.28515625" style="5" customWidth="1"/>
    <col min="8824" max="8824" width="15.7109375" style="5" customWidth="1"/>
    <col min="8825" max="8825" width="9.140625" style="5"/>
    <col min="8826" max="8826" width="10.28515625" style="5" bestFit="1" customWidth="1"/>
    <col min="8827" max="8827" width="11.5703125" style="5" bestFit="1" customWidth="1"/>
    <col min="8828" max="8828" width="9.140625" style="5" customWidth="1"/>
    <col min="8829" max="8829" width="10.42578125" style="5" customWidth="1"/>
    <col min="8830" max="8831" width="15.85546875" style="5" customWidth="1"/>
    <col min="8832" max="8833" width="16.85546875" style="5" customWidth="1"/>
    <col min="8834" max="8834" width="14.42578125" style="5" customWidth="1"/>
    <col min="8835" max="8836" width="14.28515625" style="5" customWidth="1"/>
    <col min="8837" max="8837" width="14.7109375" style="5" customWidth="1"/>
    <col min="8838" max="8838" width="15.7109375" style="5" customWidth="1"/>
    <col min="8839" max="8839" width="9.140625" style="5"/>
    <col min="8840" max="8840" width="10.28515625" style="5" bestFit="1" customWidth="1"/>
    <col min="8841" max="8841" width="9.140625" style="5"/>
    <col min="8842" max="8842" width="11.5703125" style="5" bestFit="1" customWidth="1"/>
    <col min="8843" max="8843" width="9.28515625" style="5" bestFit="1" customWidth="1"/>
    <col min="8844" max="8844" width="9.140625" style="5"/>
    <col min="8845" max="8845" width="11.7109375" style="5" customWidth="1"/>
    <col min="8846" max="8846" width="10.28515625" style="5" bestFit="1" customWidth="1"/>
    <col min="8847" max="8847" width="9.140625" style="5"/>
    <col min="8848" max="8848" width="11" style="5" bestFit="1" customWidth="1"/>
    <col min="8849" max="8849" width="10" style="5" bestFit="1" customWidth="1"/>
    <col min="8850" max="8850" width="10.28515625" style="5" bestFit="1" customWidth="1"/>
    <col min="8851" max="8851" width="9.28515625" style="5" bestFit="1" customWidth="1"/>
    <col min="8852" max="8852" width="11.28515625" style="5" bestFit="1" customWidth="1"/>
    <col min="8853" max="8853" width="9.42578125" style="5" bestFit="1" customWidth="1"/>
    <col min="8854" max="8854" width="8.140625" style="5" bestFit="1" customWidth="1"/>
    <col min="8855" max="8855" width="10" style="5" bestFit="1" customWidth="1"/>
    <col min="8856" max="8856" width="10.28515625" style="5" bestFit="1" customWidth="1"/>
    <col min="8857" max="8857" width="8.7109375" style="5" customWidth="1"/>
    <col min="8858" max="8858" width="10.28515625" style="5" bestFit="1" customWidth="1"/>
    <col min="8859" max="8859" width="11.28515625" style="5" bestFit="1" customWidth="1"/>
    <col min="8860" max="8860" width="10.85546875" style="5" bestFit="1" customWidth="1"/>
    <col min="8861" max="8861" width="9.85546875" style="5" bestFit="1" customWidth="1"/>
    <col min="8862" max="8863" width="9.140625" style="5"/>
    <col min="8864" max="8864" width="9.85546875" style="5" bestFit="1" customWidth="1"/>
    <col min="8865" max="8868" width="9.140625" style="5"/>
    <col min="8869" max="8869" width="13.5703125" style="5" bestFit="1" customWidth="1"/>
    <col min="8870" max="8870" width="10.28515625" style="5" bestFit="1" customWidth="1"/>
    <col min="8871" max="8985" width="9.140625" style="5"/>
    <col min="8986" max="8986" width="3.7109375" style="5" customWidth="1"/>
    <col min="8987" max="8987" width="26.5703125" style="5" customWidth="1"/>
    <col min="8988" max="8989" width="13.7109375" style="5" customWidth="1"/>
    <col min="8990" max="8990" width="11.42578125" style="5" customWidth="1"/>
    <col min="8991" max="8991" width="13.42578125" style="5" customWidth="1"/>
    <col min="8992" max="8992" width="11.140625" style="5" customWidth="1"/>
    <col min="8993" max="8993" width="10.28515625" style="5" customWidth="1"/>
    <col min="8994" max="8994" width="9.42578125" style="5" customWidth="1"/>
    <col min="8995" max="8995" width="8.140625" style="5" customWidth="1"/>
    <col min="8996" max="8996" width="11.42578125" style="5" customWidth="1"/>
    <col min="8997" max="8997" width="7.7109375" style="5" customWidth="1"/>
    <col min="8998" max="8998" width="9" style="5" customWidth="1"/>
    <col min="8999" max="9000" width="9.140625" style="5" customWidth="1"/>
    <col min="9001" max="9005" width="9.140625" style="5"/>
    <col min="9006" max="9006" width="9" style="5" customWidth="1"/>
    <col min="9007" max="9007" width="9.140625" style="5"/>
    <col min="9008" max="9008" width="15.140625" style="5" customWidth="1"/>
    <col min="9009" max="9017" width="9.140625" style="5"/>
    <col min="9018" max="9018" width="10.5703125" style="5" customWidth="1"/>
    <col min="9019" max="9023" width="9.140625" style="5"/>
    <col min="9024" max="9024" width="9" style="5" bestFit="1" customWidth="1"/>
    <col min="9025" max="9025" width="12.140625" style="5" customWidth="1"/>
    <col min="9026" max="9026" width="13.28515625" style="5" customWidth="1"/>
    <col min="9027" max="9027" width="9.140625" style="5"/>
    <col min="9028" max="9028" width="13.140625" style="5" customWidth="1"/>
    <col min="9029" max="9029" width="11.5703125" style="5" customWidth="1"/>
    <col min="9030" max="9030" width="15.42578125" style="5" bestFit="1" customWidth="1"/>
    <col min="9031" max="9048" width="9.140625" style="5"/>
    <col min="9049" max="9051" width="11.140625" style="5" customWidth="1"/>
    <col min="9052" max="9052" width="14.85546875" style="5" bestFit="1" customWidth="1"/>
    <col min="9053" max="9058" width="14.85546875" style="5" customWidth="1"/>
    <col min="9059" max="9062" width="11.140625" style="5" customWidth="1"/>
    <col min="9063" max="9063" width="11" style="5" customWidth="1"/>
    <col min="9064" max="9064" width="13.28515625" style="5" customWidth="1"/>
    <col min="9065" max="9065" width="12.42578125" style="5" customWidth="1"/>
    <col min="9066" max="9074" width="14.85546875" style="5" customWidth="1"/>
    <col min="9075" max="9075" width="13.140625" style="5" customWidth="1"/>
    <col min="9076" max="9076" width="13.7109375" style="5" customWidth="1"/>
    <col min="9077" max="9079" width="13.28515625" style="5" customWidth="1"/>
    <col min="9080" max="9080" width="15.7109375" style="5" customWidth="1"/>
    <col min="9081" max="9081" width="9.140625" style="5"/>
    <col min="9082" max="9082" width="10.28515625" style="5" bestFit="1" customWidth="1"/>
    <col min="9083" max="9083" width="11.5703125" style="5" bestFit="1" customWidth="1"/>
    <col min="9084" max="9084" width="9.140625" style="5" customWidth="1"/>
    <col min="9085" max="9085" width="10.42578125" style="5" customWidth="1"/>
    <col min="9086" max="9087" width="15.85546875" style="5" customWidth="1"/>
    <col min="9088" max="9089" width="16.85546875" style="5" customWidth="1"/>
    <col min="9090" max="9090" width="14.42578125" style="5" customWidth="1"/>
    <col min="9091" max="9092" width="14.28515625" style="5" customWidth="1"/>
    <col min="9093" max="9093" width="14.7109375" style="5" customWidth="1"/>
    <col min="9094" max="9094" width="15.7109375" style="5" customWidth="1"/>
    <col min="9095" max="9095" width="9.140625" style="5"/>
    <col min="9096" max="9096" width="10.28515625" style="5" bestFit="1" customWidth="1"/>
    <col min="9097" max="9097" width="9.140625" style="5"/>
    <col min="9098" max="9098" width="11.5703125" style="5" bestFit="1" customWidth="1"/>
    <col min="9099" max="9099" width="9.28515625" style="5" bestFit="1" customWidth="1"/>
    <col min="9100" max="9100" width="9.140625" style="5"/>
    <col min="9101" max="9101" width="11.7109375" style="5" customWidth="1"/>
    <col min="9102" max="9102" width="10.28515625" style="5" bestFit="1" customWidth="1"/>
    <col min="9103" max="9103" width="9.140625" style="5"/>
    <col min="9104" max="9104" width="11" style="5" bestFit="1" customWidth="1"/>
    <col min="9105" max="9105" width="10" style="5" bestFit="1" customWidth="1"/>
    <col min="9106" max="9106" width="10.28515625" style="5" bestFit="1" customWidth="1"/>
    <col min="9107" max="9107" width="9.28515625" style="5" bestFit="1" customWidth="1"/>
    <col min="9108" max="9108" width="11.28515625" style="5" bestFit="1" customWidth="1"/>
    <col min="9109" max="9109" width="9.42578125" style="5" bestFit="1" customWidth="1"/>
    <col min="9110" max="9110" width="8.140625" style="5" bestFit="1" customWidth="1"/>
    <col min="9111" max="9111" width="10" style="5" bestFit="1" customWidth="1"/>
    <col min="9112" max="9112" width="10.28515625" style="5" bestFit="1" customWidth="1"/>
    <col min="9113" max="9113" width="8.7109375" style="5" customWidth="1"/>
    <col min="9114" max="9114" width="10.28515625" style="5" bestFit="1" customWidth="1"/>
    <col min="9115" max="9115" width="11.28515625" style="5" bestFit="1" customWidth="1"/>
    <col min="9116" max="9116" width="10.85546875" style="5" bestFit="1" customWidth="1"/>
    <col min="9117" max="9117" width="9.85546875" style="5" bestFit="1" customWidth="1"/>
    <col min="9118" max="9119" width="9.140625" style="5"/>
    <col min="9120" max="9120" width="9.85546875" style="5" bestFit="1" customWidth="1"/>
    <col min="9121" max="9124" width="9.140625" style="5"/>
    <col min="9125" max="9125" width="13.5703125" style="5" bestFit="1" customWidth="1"/>
    <col min="9126" max="9126" width="10.28515625" style="5" bestFit="1" customWidth="1"/>
    <col min="9127" max="9241" width="9.140625" style="5"/>
    <col min="9242" max="9242" width="3.7109375" style="5" customWidth="1"/>
    <col min="9243" max="9243" width="26.5703125" style="5" customWidth="1"/>
    <col min="9244" max="9245" width="13.7109375" style="5" customWidth="1"/>
    <col min="9246" max="9246" width="11.42578125" style="5" customWidth="1"/>
    <col min="9247" max="9247" width="13.42578125" style="5" customWidth="1"/>
    <col min="9248" max="9248" width="11.140625" style="5" customWidth="1"/>
    <col min="9249" max="9249" width="10.28515625" style="5" customWidth="1"/>
    <col min="9250" max="9250" width="9.42578125" style="5" customWidth="1"/>
    <col min="9251" max="9251" width="8.140625" style="5" customWidth="1"/>
    <col min="9252" max="9252" width="11.42578125" style="5" customWidth="1"/>
    <col min="9253" max="9253" width="7.7109375" style="5" customWidth="1"/>
    <col min="9254" max="9254" width="9" style="5" customWidth="1"/>
    <col min="9255" max="9256" width="9.140625" style="5" customWidth="1"/>
    <col min="9257" max="9261" width="9.140625" style="5"/>
    <col min="9262" max="9262" width="9" style="5" customWidth="1"/>
    <col min="9263" max="9263" width="9.140625" style="5"/>
    <col min="9264" max="9264" width="15.140625" style="5" customWidth="1"/>
    <col min="9265" max="9273" width="9.140625" style="5"/>
    <col min="9274" max="9274" width="10.5703125" style="5" customWidth="1"/>
    <col min="9275" max="9279" width="9.140625" style="5"/>
    <col min="9280" max="9280" width="9" style="5" bestFit="1" customWidth="1"/>
    <col min="9281" max="9281" width="12.140625" style="5" customWidth="1"/>
    <col min="9282" max="9282" width="13.28515625" style="5" customWidth="1"/>
    <col min="9283" max="9283" width="9.140625" style="5"/>
    <col min="9284" max="9284" width="13.140625" style="5" customWidth="1"/>
    <col min="9285" max="9285" width="11.5703125" style="5" customWidth="1"/>
    <col min="9286" max="9286" width="15.42578125" style="5" bestFit="1" customWidth="1"/>
    <col min="9287" max="9304" width="9.140625" style="5"/>
    <col min="9305" max="9307" width="11.140625" style="5" customWidth="1"/>
    <col min="9308" max="9308" width="14.85546875" style="5" bestFit="1" customWidth="1"/>
    <col min="9309" max="9314" width="14.85546875" style="5" customWidth="1"/>
    <col min="9315" max="9318" width="11.140625" style="5" customWidth="1"/>
    <col min="9319" max="9319" width="11" style="5" customWidth="1"/>
    <col min="9320" max="9320" width="13.28515625" style="5" customWidth="1"/>
    <col min="9321" max="9321" width="12.42578125" style="5" customWidth="1"/>
    <col min="9322" max="9330" width="14.85546875" style="5" customWidth="1"/>
    <col min="9331" max="9331" width="13.140625" style="5" customWidth="1"/>
    <col min="9332" max="9332" width="13.7109375" style="5" customWidth="1"/>
    <col min="9333" max="9335" width="13.28515625" style="5" customWidth="1"/>
    <col min="9336" max="9336" width="15.7109375" style="5" customWidth="1"/>
    <col min="9337" max="9337" width="9.140625" style="5"/>
    <col min="9338" max="9338" width="10.28515625" style="5" bestFit="1" customWidth="1"/>
    <col min="9339" max="9339" width="11.5703125" style="5" bestFit="1" customWidth="1"/>
    <col min="9340" max="9340" width="9.140625" style="5" customWidth="1"/>
    <col min="9341" max="9341" width="10.42578125" style="5" customWidth="1"/>
    <col min="9342" max="9343" width="15.85546875" style="5" customWidth="1"/>
    <col min="9344" max="9345" width="16.85546875" style="5" customWidth="1"/>
    <col min="9346" max="9346" width="14.42578125" style="5" customWidth="1"/>
    <col min="9347" max="9348" width="14.28515625" style="5" customWidth="1"/>
    <col min="9349" max="9349" width="14.7109375" style="5" customWidth="1"/>
    <col min="9350" max="9350" width="15.7109375" style="5" customWidth="1"/>
    <col min="9351" max="9351" width="9.140625" style="5"/>
    <col min="9352" max="9352" width="10.28515625" style="5" bestFit="1" customWidth="1"/>
    <col min="9353" max="9353" width="9.140625" style="5"/>
    <col min="9354" max="9354" width="11.5703125" style="5" bestFit="1" customWidth="1"/>
    <col min="9355" max="9355" width="9.28515625" style="5" bestFit="1" customWidth="1"/>
    <col min="9356" max="9356" width="9.140625" style="5"/>
    <col min="9357" max="9357" width="11.7109375" style="5" customWidth="1"/>
    <col min="9358" max="9358" width="10.28515625" style="5" bestFit="1" customWidth="1"/>
    <col min="9359" max="9359" width="9.140625" style="5"/>
    <col min="9360" max="9360" width="11" style="5" bestFit="1" customWidth="1"/>
    <col min="9361" max="9361" width="10" style="5" bestFit="1" customWidth="1"/>
    <col min="9362" max="9362" width="10.28515625" style="5" bestFit="1" customWidth="1"/>
    <col min="9363" max="9363" width="9.28515625" style="5" bestFit="1" customWidth="1"/>
    <col min="9364" max="9364" width="11.28515625" style="5" bestFit="1" customWidth="1"/>
    <col min="9365" max="9365" width="9.42578125" style="5" bestFit="1" customWidth="1"/>
    <col min="9366" max="9366" width="8.140625" style="5" bestFit="1" customWidth="1"/>
    <col min="9367" max="9367" width="10" style="5" bestFit="1" customWidth="1"/>
    <col min="9368" max="9368" width="10.28515625" style="5" bestFit="1" customWidth="1"/>
    <col min="9369" max="9369" width="8.7109375" style="5" customWidth="1"/>
    <col min="9370" max="9370" width="10.28515625" style="5" bestFit="1" customWidth="1"/>
    <col min="9371" max="9371" width="11.28515625" style="5" bestFit="1" customWidth="1"/>
    <col min="9372" max="9372" width="10.85546875" style="5" bestFit="1" customWidth="1"/>
    <col min="9373" max="9373" width="9.85546875" style="5" bestFit="1" customWidth="1"/>
    <col min="9374" max="9375" width="9.140625" style="5"/>
    <col min="9376" max="9376" width="9.85546875" style="5" bestFit="1" customWidth="1"/>
    <col min="9377" max="9380" width="9.140625" style="5"/>
    <col min="9381" max="9381" width="13.5703125" style="5" bestFit="1" customWidth="1"/>
    <col min="9382" max="9382" width="10.28515625" style="5" bestFit="1" customWidth="1"/>
    <col min="9383" max="9497" width="9.140625" style="5"/>
    <col min="9498" max="9498" width="3.7109375" style="5" customWidth="1"/>
    <col min="9499" max="9499" width="26.5703125" style="5" customWidth="1"/>
    <col min="9500" max="9501" width="13.7109375" style="5" customWidth="1"/>
    <col min="9502" max="9502" width="11.42578125" style="5" customWidth="1"/>
    <col min="9503" max="9503" width="13.42578125" style="5" customWidth="1"/>
    <col min="9504" max="9504" width="11.140625" style="5" customWidth="1"/>
    <col min="9505" max="9505" width="10.28515625" style="5" customWidth="1"/>
    <col min="9506" max="9506" width="9.42578125" style="5" customWidth="1"/>
    <col min="9507" max="9507" width="8.140625" style="5" customWidth="1"/>
    <col min="9508" max="9508" width="11.42578125" style="5" customWidth="1"/>
    <col min="9509" max="9509" width="7.7109375" style="5" customWidth="1"/>
    <col min="9510" max="9510" width="9" style="5" customWidth="1"/>
    <col min="9511" max="9512" width="9.140625" style="5" customWidth="1"/>
    <col min="9513" max="9517" width="9.140625" style="5"/>
    <col min="9518" max="9518" width="9" style="5" customWidth="1"/>
    <col min="9519" max="9519" width="9.140625" style="5"/>
    <col min="9520" max="9520" width="15.140625" style="5" customWidth="1"/>
    <col min="9521" max="9529" width="9.140625" style="5"/>
    <col min="9530" max="9530" width="10.5703125" style="5" customWidth="1"/>
    <col min="9531" max="9535" width="9.140625" style="5"/>
    <col min="9536" max="9536" width="9" style="5" bestFit="1" customWidth="1"/>
    <col min="9537" max="9537" width="12.140625" style="5" customWidth="1"/>
    <col min="9538" max="9538" width="13.28515625" style="5" customWidth="1"/>
    <col min="9539" max="9539" width="9.140625" style="5"/>
    <col min="9540" max="9540" width="13.140625" style="5" customWidth="1"/>
    <col min="9541" max="9541" width="11.5703125" style="5" customWidth="1"/>
    <col min="9542" max="9542" width="15.42578125" style="5" bestFit="1" customWidth="1"/>
    <col min="9543" max="9560" width="9.140625" style="5"/>
    <col min="9561" max="9563" width="11.140625" style="5" customWidth="1"/>
    <col min="9564" max="9564" width="14.85546875" style="5" bestFit="1" customWidth="1"/>
    <col min="9565" max="9570" width="14.85546875" style="5" customWidth="1"/>
    <col min="9571" max="9574" width="11.140625" style="5" customWidth="1"/>
    <col min="9575" max="9575" width="11" style="5" customWidth="1"/>
    <col min="9576" max="9576" width="13.28515625" style="5" customWidth="1"/>
    <col min="9577" max="9577" width="12.42578125" style="5" customWidth="1"/>
    <col min="9578" max="9586" width="14.85546875" style="5" customWidth="1"/>
    <col min="9587" max="9587" width="13.140625" style="5" customWidth="1"/>
    <col min="9588" max="9588" width="13.7109375" style="5" customWidth="1"/>
    <col min="9589" max="9591" width="13.28515625" style="5" customWidth="1"/>
    <col min="9592" max="9592" width="15.7109375" style="5" customWidth="1"/>
    <col min="9593" max="9593" width="9.140625" style="5"/>
    <col min="9594" max="9594" width="10.28515625" style="5" bestFit="1" customWidth="1"/>
    <col min="9595" max="9595" width="11.5703125" style="5" bestFit="1" customWidth="1"/>
    <col min="9596" max="9596" width="9.140625" style="5" customWidth="1"/>
    <col min="9597" max="9597" width="10.42578125" style="5" customWidth="1"/>
    <col min="9598" max="9599" width="15.85546875" style="5" customWidth="1"/>
    <col min="9600" max="9601" width="16.85546875" style="5" customWidth="1"/>
    <col min="9602" max="9602" width="14.42578125" style="5" customWidth="1"/>
    <col min="9603" max="9604" width="14.28515625" style="5" customWidth="1"/>
    <col min="9605" max="9605" width="14.7109375" style="5" customWidth="1"/>
    <col min="9606" max="9606" width="15.7109375" style="5" customWidth="1"/>
    <col min="9607" max="9607" width="9.140625" style="5"/>
    <col min="9608" max="9608" width="10.28515625" style="5" bestFit="1" customWidth="1"/>
    <col min="9609" max="9609" width="9.140625" style="5"/>
    <col min="9610" max="9610" width="11.5703125" style="5" bestFit="1" customWidth="1"/>
    <col min="9611" max="9611" width="9.28515625" style="5" bestFit="1" customWidth="1"/>
    <col min="9612" max="9612" width="9.140625" style="5"/>
    <col min="9613" max="9613" width="11.7109375" style="5" customWidth="1"/>
    <col min="9614" max="9614" width="10.28515625" style="5" bestFit="1" customWidth="1"/>
    <col min="9615" max="9615" width="9.140625" style="5"/>
    <col min="9616" max="9616" width="11" style="5" bestFit="1" customWidth="1"/>
    <col min="9617" max="9617" width="10" style="5" bestFit="1" customWidth="1"/>
    <col min="9618" max="9618" width="10.28515625" style="5" bestFit="1" customWidth="1"/>
    <col min="9619" max="9619" width="9.28515625" style="5" bestFit="1" customWidth="1"/>
    <col min="9620" max="9620" width="11.28515625" style="5" bestFit="1" customWidth="1"/>
    <col min="9621" max="9621" width="9.42578125" style="5" bestFit="1" customWidth="1"/>
    <col min="9622" max="9622" width="8.140625" style="5" bestFit="1" customWidth="1"/>
    <col min="9623" max="9623" width="10" style="5" bestFit="1" customWidth="1"/>
    <col min="9624" max="9624" width="10.28515625" style="5" bestFit="1" customWidth="1"/>
    <col min="9625" max="9625" width="8.7109375" style="5" customWidth="1"/>
    <col min="9626" max="9626" width="10.28515625" style="5" bestFit="1" customWidth="1"/>
    <col min="9627" max="9627" width="11.28515625" style="5" bestFit="1" customWidth="1"/>
    <col min="9628" max="9628" width="10.85546875" style="5" bestFit="1" customWidth="1"/>
    <col min="9629" max="9629" width="9.85546875" style="5" bestFit="1" customWidth="1"/>
    <col min="9630" max="9631" width="9.140625" style="5"/>
    <col min="9632" max="9632" width="9.85546875" style="5" bestFit="1" customWidth="1"/>
    <col min="9633" max="9636" width="9.140625" style="5"/>
    <col min="9637" max="9637" width="13.5703125" style="5" bestFit="1" customWidth="1"/>
    <col min="9638" max="9638" width="10.28515625" style="5" bestFit="1" customWidth="1"/>
    <col min="9639" max="9753" width="9.140625" style="5"/>
    <col min="9754" max="9754" width="3.7109375" style="5" customWidth="1"/>
    <col min="9755" max="9755" width="26.5703125" style="5" customWidth="1"/>
    <col min="9756" max="9757" width="13.7109375" style="5" customWidth="1"/>
    <col min="9758" max="9758" width="11.42578125" style="5" customWidth="1"/>
    <col min="9759" max="9759" width="13.42578125" style="5" customWidth="1"/>
    <col min="9760" max="9760" width="11.140625" style="5" customWidth="1"/>
    <col min="9761" max="9761" width="10.28515625" style="5" customWidth="1"/>
    <col min="9762" max="9762" width="9.42578125" style="5" customWidth="1"/>
    <col min="9763" max="9763" width="8.140625" style="5" customWidth="1"/>
    <col min="9764" max="9764" width="11.42578125" style="5" customWidth="1"/>
    <col min="9765" max="9765" width="7.7109375" style="5" customWidth="1"/>
    <col min="9766" max="9766" width="9" style="5" customWidth="1"/>
    <col min="9767" max="9768" width="9.140625" style="5" customWidth="1"/>
    <col min="9769" max="9773" width="9.140625" style="5"/>
    <col min="9774" max="9774" width="9" style="5" customWidth="1"/>
    <col min="9775" max="9775" width="9.140625" style="5"/>
    <col min="9776" max="9776" width="15.140625" style="5" customWidth="1"/>
    <col min="9777" max="9785" width="9.140625" style="5"/>
    <col min="9786" max="9786" width="10.5703125" style="5" customWidth="1"/>
    <col min="9787" max="9791" width="9.140625" style="5"/>
    <col min="9792" max="9792" width="9" style="5" bestFit="1" customWidth="1"/>
    <col min="9793" max="9793" width="12.140625" style="5" customWidth="1"/>
    <col min="9794" max="9794" width="13.28515625" style="5" customWidth="1"/>
    <col min="9795" max="9795" width="9.140625" style="5"/>
    <col min="9796" max="9796" width="13.140625" style="5" customWidth="1"/>
    <col min="9797" max="9797" width="11.5703125" style="5" customWidth="1"/>
    <col min="9798" max="9798" width="15.42578125" style="5" bestFit="1" customWidth="1"/>
    <col min="9799" max="9816" width="9.140625" style="5"/>
    <col min="9817" max="9819" width="11.140625" style="5" customWidth="1"/>
    <col min="9820" max="9820" width="14.85546875" style="5" bestFit="1" customWidth="1"/>
    <col min="9821" max="9826" width="14.85546875" style="5" customWidth="1"/>
    <col min="9827" max="9830" width="11.140625" style="5" customWidth="1"/>
    <col min="9831" max="9831" width="11" style="5" customWidth="1"/>
    <col min="9832" max="9832" width="13.28515625" style="5" customWidth="1"/>
    <col min="9833" max="9833" width="12.42578125" style="5" customWidth="1"/>
    <col min="9834" max="9842" width="14.85546875" style="5" customWidth="1"/>
    <col min="9843" max="9843" width="13.140625" style="5" customWidth="1"/>
    <col min="9844" max="9844" width="13.7109375" style="5" customWidth="1"/>
    <col min="9845" max="9847" width="13.28515625" style="5" customWidth="1"/>
    <col min="9848" max="9848" width="15.7109375" style="5" customWidth="1"/>
    <col min="9849" max="9849" width="9.140625" style="5"/>
    <col min="9850" max="9850" width="10.28515625" style="5" bestFit="1" customWidth="1"/>
    <col min="9851" max="9851" width="11.5703125" style="5" bestFit="1" customWidth="1"/>
    <col min="9852" max="9852" width="9.140625" style="5" customWidth="1"/>
    <col min="9853" max="9853" width="10.42578125" style="5" customWidth="1"/>
    <col min="9854" max="9855" width="15.85546875" style="5" customWidth="1"/>
    <col min="9856" max="9857" width="16.85546875" style="5" customWidth="1"/>
    <col min="9858" max="9858" width="14.42578125" style="5" customWidth="1"/>
    <col min="9859" max="9860" width="14.28515625" style="5" customWidth="1"/>
    <col min="9861" max="9861" width="14.7109375" style="5" customWidth="1"/>
    <col min="9862" max="9862" width="15.7109375" style="5" customWidth="1"/>
    <col min="9863" max="9863" width="9.140625" style="5"/>
    <col min="9864" max="9864" width="10.28515625" style="5" bestFit="1" customWidth="1"/>
    <col min="9865" max="9865" width="9.140625" style="5"/>
    <col min="9866" max="9866" width="11.5703125" style="5" bestFit="1" customWidth="1"/>
    <col min="9867" max="9867" width="9.28515625" style="5" bestFit="1" customWidth="1"/>
    <col min="9868" max="9868" width="9.140625" style="5"/>
    <col min="9869" max="9869" width="11.7109375" style="5" customWidth="1"/>
    <col min="9870" max="9870" width="10.28515625" style="5" bestFit="1" customWidth="1"/>
    <col min="9871" max="9871" width="9.140625" style="5"/>
    <col min="9872" max="9872" width="11" style="5" bestFit="1" customWidth="1"/>
    <col min="9873" max="9873" width="10" style="5" bestFit="1" customWidth="1"/>
    <col min="9874" max="9874" width="10.28515625" style="5" bestFit="1" customWidth="1"/>
    <col min="9875" max="9875" width="9.28515625" style="5" bestFit="1" customWidth="1"/>
    <col min="9876" max="9876" width="11.28515625" style="5" bestFit="1" customWidth="1"/>
    <col min="9877" max="9877" width="9.42578125" style="5" bestFit="1" customWidth="1"/>
    <col min="9878" max="9878" width="8.140625" style="5" bestFit="1" customWidth="1"/>
    <col min="9879" max="9879" width="10" style="5" bestFit="1" customWidth="1"/>
    <col min="9880" max="9880" width="10.28515625" style="5" bestFit="1" customWidth="1"/>
    <col min="9881" max="9881" width="8.7109375" style="5" customWidth="1"/>
    <col min="9882" max="9882" width="10.28515625" style="5" bestFit="1" customWidth="1"/>
    <col min="9883" max="9883" width="11.28515625" style="5" bestFit="1" customWidth="1"/>
    <col min="9884" max="9884" width="10.85546875" style="5" bestFit="1" customWidth="1"/>
    <col min="9885" max="9885" width="9.85546875" style="5" bestFit="1" customWidth="1"/>
    <col min="9886" max="9887" width="9.140625" style="5"/>
    <col min="9888" max="9888" width="9.85546875" style="5" bestFit="1" customWidth="1"/>
    <col min="9889" max="9892" width="9.140625" style="5"/>
    <col min="9893" max="9893" width="13.5703125" style="5" bestFit="1" customWidth="1"/>
    <col min="9894" max="9894" width="10.28515625" style="5" bestFit="1" customWidth="1"/>
    <col min="9895" max="10009" width="9.140625" style="5"/>
    <col min="10010" max="10010" width="3.7109375" style="5" customWidth="1"/>
    <col min="10011" max="10011" width="26.5703125" style="5" customWidth="1"/>
    <col min="10012" max="10013" width="13.7109375" style="5" customWidth="1"/>
    <col min="10014" max="10014" width="11.42578125" style="5" customWidth="1"/>
    <col min="10015" max="10015" width="13.42578125" style="5" customWidth="1"/>
    <col min="10016" max="10016" width="11.140625" style="5" customWidth="1"/>
    <col min="10017" max="10017" width="10.28515625" style="5" customWidth="1"/>
    <col min="10018" max="10018" width="9.42578125" style="5" customWidth="1"/>
    <col min="10019" max="10019" width="8.140625" style="5" customWidth="1"/>
    <col min="10020" max="10020" width="11.42578125" style="5" customWidth="1"/>
    <col min="10021" max="10021" width="7.7109375" style="5" customWidth="1"/>
    <col min="10022" max="10022" width="9" style="5" customWidth="1"/>
    <col min="10023" max="10024" width="9.140625" style="5" customWidth="1"/>
    <col min="10025" max="10029" width="9.140625" style="5"/>
    <col min="10030" max="10030" width="9" style="5" customWidth="1"/>
    <col min="10031" max="10031" width="9.140625" style="5"/>
    <col min="10032" max="10032" width="15.140625" style="5" customWidth="1"/>
    <col min="10033" max="10041" width="9.140625" style="5"/>
    <col min="10042" max="10042" width="10.5703125" style="5" customWidth="1"/>
    <col min="10043" max="10047" width="9.140625" style="5"/>
    <col min="10048" max="10048" width="9" style="5" bestFit="1" customWidth="1"/>
    <col min="10049" max="10049" width="12.140625" style="5" customWidth="1"/>
    <col min="10050" max="10050" width="13.28515625" style="5" customWidth="1"/>
    <col min="10051" max="10051" width="9.140625" style="5"/>
    <col min="10052" max="10052" width="13.140625" style="5" customWidth="1"/>
    <col min="10053" max="10053" width="11.5703125" style="5" customWidth="1"/>
    <col min="10054" max="10054" width="15.42578125" style="5" bestFit="1" customWidth="1"/>
    <col min="10055" max="10072" width="9.140625" style="5"/>
    <col min="10073" max="10075" width="11.140625" style="5" customWidth="1"/>
    <col min="10076" max="10076" width="14.85546875" style="5" bestFit="1" customWidth="1"/>
    <col min="10077" max="10082" width="14.85546875" style="5" customWidth="1"/>
    <col min="10083" max="10086" width="11.140625" style="5" customWidth="1"/>
    <col min="10087" max="10087" width="11" style="5" customWidth="1"/>
    <col min="10088" max="10088" width="13.28515625" style="5" customWidth="1"/>
    <col min="10089" max="10089" width="12.42578125" style="5" customWidth="1"/>
    <col min="10090" max="10098" width="14.85546875" style="5" customWidth="1"/>
    <col min="10099" max="10099" width="13.140625" style="5" customWidth="1"/>
    <col min="10100" max="10100" width="13.7109375" style="5" customWidth="1"/>
    <col min="10101" max="10103" width="13.28515625" style="5" customWidth="1"/>
    <col min="10104" max="10104" width="15.7109375" style="5" customWidth="1"/>
    <col min="10105" max="10105" width="9.140625" style="5"/>
    <col min="10106" max="10106" width="10.28515625" style="5" bestFit="1" customWidth="1"/>
    <col min="10107" max="10107" width="11.5703125" style="5" bestFit="1" customWidth="1"/>
    <col min="10108" max="10108" width="9.140625" style="5" customWidth="1"/>
    <col min="10109" max="10109" width="10.42578125" style="5" customWidth="1"/>
    <col min="10110" max="10111" width="15.85546875" style="5" customWidth="1"/>
    <col min="10112" max="10113" width="16.85546875" style="5" customWidth="1"/>
    <col min="10114" max="10114" width="14.42578125" style="5" customWidth="1"/>
    <col min="10115" max="10116" width="14.28515625" style="5" customWidth="1"/>
    <col min="10117" max="10117" width="14.7109375" style="5" customWidth="1"/>
    <col min="10118" max="10118" width="15.7109375" style="5" customWidth="1"/>
    <col min="10119" max="10119" width="9.140625" style="5"/>
    <col min="10120" max="10120" width="10.28515625" style="5" bestFit="1" customWidth="1"/>
    <col min="10121" max="10121" width="9.140625" style="5"/>
    <col min="10122" max="10122" width="11.5703125" style="5" bestFit="1" customWidth="1"/>
    <col min="10123" max="10123" width="9.28515625" style="5" bestFit="1" customWidth="1"/>
    <col min="10124" max="10124" width="9.140625" style="5"/>
    <col min="10125" max="10125" width="11.7109375" style="5" customWidth="1"/>
    <col min="10126" max="10126" width="10.28515625" style="5" bestFit="1" customWidth="1"/>
    <col min="10127" max="10127" width="9.140625" style="5"/>
    <col min="10128" max="10128" width="11" style="5" bestFit="1" customWidth="1"/>
    <col min="10129" max="10129" width="10" style="5" bestFit="1" customWidth="1"/>
    <col min="10130" max="10130" width="10.28515625" style="5" bestFit="1" customWidth="1"/>
    <col min="10131" max="10131" width="9.28515625" style="5" bestFit="1" customWidth="1"/>
    <col min="10132" max="10132" width="11.28515625" style="5" bestFit="1" customWidth="1"/>
    <col min="10133" max="10133" width="9.42578125" style="5" bestFit="1" customWidth="1"/>
    <col min="10134" max="10134" width="8.140625" style="5" bestFit="1" customWidth="1"/>
    <col min="10135" max="10135" width="10" style="5" bestFit="1" customWidth="1"/>
    <col min="10136" max="10136" width="10.28515625" style="5" bestFit="1" customWidth="1"/>
    <col min="10137" max="10137" width="8.7109375" style="5" customWidth="1"/>
    <col min="10138" max="10138" width="10.28515625" style="5" bestFit="1" customWidth="1"/>
    <col min="10139" max="10139" width="11.28515625" style="5" bestFit="1" customWidth="1"/>
    <col min="10140" max="10140" width="10.85546875" style="5" bestFit="1" customWidth="1"/>
    <col min="10141" max="10141" width="9.85546875" style="5" bestFit="1" customWidth="1"/>
    <col min="10142" max="10143" width="9.140625" style="5"/>
    <col min="10144" max="10144" width="9.85546875" style="5" bestFit="1" customWidth="1"/>
    <col min="10145" max="10148" width="9.140625" style="5"/>
    <col min="10149" max="10149" width="13.5703125" style="5" bestFit="1" customWidth="1"/>
    <col min="10150" max="10150" width="10.28515625" style="5" bestFit="1" customWidth="1"/>
    <col min="10151" max="10265" width="9.140625" style="5"/>
    <col min="10266" max="10266" width="3.7109375" style="5" customWidth="1"/>
    <col min="10267" max="10267" width="26.5703125" style="5" customWidth="1"/>
    <col min="10268" max="10269" width="13.7109375" style="5" customWidth="1"/>
    <col min="10270" max="10270" width="11.42578125" style="5" customWidth="1"/>
    <col min="10271" max="10271" width="13.42578125" style="5" customWidth="1"/>
    <col min="10272" max="10272" width="11.140625" style="5" customWidth="1"/>
    <col min="10273" max="10273" width="10.28515625" style="5" customWidth="1"/>
    <col min="10274" max="10274" width="9.42578125" style="5" customWidth="1"/>
    <col min="10275" max="10275" width="8.140625" style="5" customWidth="1"/>
    <col min="10276" max="10276" width="11.42578125" style="5" customWidth="1"/>
    <col min="10277" max="10277" width="7.7109375" style="5" customWidth="1"/>
    <col min="10278" max="10278" width="9" style="5" customWidth="1"/>
    <col min="10279" max="10280" width="9.140625" style="5" customWidth="1"/>
    <col min="10281" max="10285" width="9.140625" style="5"/>
    <col min="10286" max="10286" width="9" style="5" customWidth="1"/>
    <col min="10287" max="10287" width="9.140625" style="5"/>
    <col min="10288" max="10288" width="15.140625" style="5" customWidth="1"/>
    <col min="10289" max="10297" width="9.140625" style="5"/>
    <col min="10298" max="10298" width="10.5703125" style="5" customWidth="1"/>
    <col min="10299" max="10303" width="9.140625" style="5"/>
    <col min="10304" max="10304" width="9" style="5" bestFit="1" customWidth="1"/>
    <col min="10305" max="10305" width="12.140625" style="5" customWidth="1"/>
    <col min="10306" max="10306" width="13.28515625" style="5" customWidth="1"/>
    <col min="10307" max="10307" width="9.140625" style="5"/>
    <col min="10308" max="10308" width="13.140625" style="5" customWidth="1"/>
    <col min="10309" max="10309" width="11.5703125" style="5" customWidth="1"/>
    <col min="10310" max="10310" width="15.42578125" style="5" bestFit="1" customWidth="1"/>
    <col min="10311" max="10328" width="9.140625" style="5"/>
    <col min="10329" max="10331" width="11.140625" style="5" customWidth="1"/>
    <col min="10332" max="10332" width="14.85546875" style="5" bestFit="1" customWidth="1"/>
    <col min="10333" max="10338" width="14.85546875" style="5" customWidth="1"/>
    <col min="10339" max="10342" width="11.140625" style="5" customWidth="1"/>
    <col min="10343" max="10343" width="11" style="5" customWidth="1"/>
    <col min="10344" max="10344" width="13.28515625" style="5" customWidth="1"/>
    <col min="10345" max="10345" width="12.42578125" style="5" customWidth="1"/>
    <col min="10346" max="10354" width="14.85546875" style="5" customWidth="1"/>
    <col min="10355" max="10355" width="13.140625" style="5" customWidth="1"/>
    <col min="10356" max="10356" width="13.7109375" style="5" customWidth="1"/>
    <col min="10357" max="10359" width="13.28515625" style="5" customWidth="1"/>
    <col min="10360" max="10360" width="15.7109375" style="5" customWidth="1"/>
    <col min="10361" max="10361" width="9.140625" style="5"/>
    <col min="10362" max="10362" width="10.28515625" style="5" bestFit="1" customWidth="1"/>
    <col min="10363" max="10363" width="11.5703125" style="5" bestFit="1" customWidth="1"/>
    <col min="10364" max="10364" width="9.140625" style="5" customWidth="1"/>
    <col min="10365" max="10365" width="10.42578125" style="5" customWidth="1"/>
    <col min="10366" max="10367" width="15.85546875" style="5" customWidth="1"/>
    <col min="10368" max="10369" width="16.85546875" style="5" customWidth="1"/>
    <col min="10370" max="10370" width="14.42578125" style="5" customWidth="1"/>
    <col min="10371" max="10372" width="14.28515625" style="5" customWidth="1"/>
    <col min="10373" max="10373" width="14.7109375" style="5" customWidth="1"/>
    <col min="10374" max="10374" width="15.7109375" style="5" customWidth="1"/>
    <col min="10375" max="10375" width="9.140625" style="5"/>
    <col min="10376" max="10376" width="10.28515625" style="5" bestFit="1" customWidth="1"/>
    <col min="10377" max="10377" width="9.140625" style="5"/>
    <col min="10378" max="10378" width="11.5703125" style="5" bestFit="1" customWidth="1"/>
    <col min="10379" max="10379" width="9.28515625" style="5" bestFit="1" customWidth="1"/>
    <col min="10380" max="10380" width="9.140625" style="5"/>
    <col min="10381" max="10381" width="11.7109375" style="5" customWidth="1"/>
    <col min="10382" max="10382" width="10.28515625" style="5" bestFit="1" customWidth="1"/>
    <col min="10383" max="10383" width="9.140625" style="5"/>
    <col min="10384" max="10384" width="11" style="5" bestFit="1" customWidth="1"/>
    <col min="10385" max="10385" width="10" style="5" bestFit="1" customWidth="1"/>
    <col min="10386" max="10386" width="10.28515625" style="5" bestFit="1" customWidth="1"/>
    <col min="10387" max="10387" width="9.28515625" style="5" bestFit="1" customWidth="1"/>
    <col min="10388" max="10388" width="11.28515625" style="5" bestFit="1" customWidth="1"/>
    <col min="10389" max="10389" width="9.42578125" style="5" bestFit="1" customWidth="1"/>
    <col min="10390" max="10390" width="8.140625" style="5" bestFit="1" customWidth="1"/>
    <col min="10391" max="10391" width="10" style="5" bestFit="1" customWidth="1"/>
    <col min="10392" max="10392" width="10.28515625" style="5" bestFit="1" customWidth="1"/>
    <col min="10393" max="10393" width="8.7109375" style="5" customWidth="1"/>
    <col min="10394" max="10394" width="10.28515625" style="5" bestFit="1" customWidth="1"/>
    <col min="10395" max="10395" width="11.28515625" style="5" bestFit="1" customWidth="1"/>
    <col min="10396" max="10396" width="10.85546875" style="5" bestFit="1" customWidth="1"/>
    <col min="10397" max="10397" width="9.85546875" style="5" bestFit="1" customWidth="1"/>
    <col min="10398" max="10399" width="9.140625" style="5"/>
    <col min="10400" max="10400" width="9.85546875" style="5" bestFit="1" customWidth="1"/>
    <col min="10401" max="10404" width="9.140625" style="5"/>
    <col min="10405" max="10405" width="13.5703125" style="5" bestFit="1" customWidth="1"/>
    <col min="10406" max="10406" width="10.28515625" style="5" bestFit="1" customWidth="1"/>
    <col min="10407" max="10521" width="9.140625" style="5"/>
    <col min="10522" max="10522" width="3.7109375" style="5" customWidth="1"/>
    <col min="10523" max="10523" width="26.5703125" style="5" customWidth="1"/>
    <col min="10524" max="10525" width="13.7109375" style="5" customWidth="1"/>
    <col min="10526" max="10526" width="11.42578125" style="5" customWidth="1"/>
    <col min="10527" max="10527" width="13.42578125" style="5" customWidth="1"/>
    <col min="10528" max="10528" width="11.140625" style="5" customWidth="1"/>
    <col min="10529" max="10529" width="10.28515625" style="5" customWidth="1"/>
    <col min="10530" max="10530" width="9.42578125" style="5" customWidth="1"/>
    <col min="10531" max="10531" width="8.140625" style="5" customWidth="1"/>
    <col min="10532" max="10532" width="11.42578125" style="5" customWidth="1"/>
    <col min="10533" max="10533" width="7.7109375" style="5" customWidth="1"/>
    <col min="10534" max="10534" width="9" style="5" customWidth="1"/>
    <col min="10535" max="10536" width="9.140625" style="5" customWidth="1"/>
    <col min="10537" max="10541" width="9.140625" style="5"/>
    <col min="10542" max="10542" width="9" style="5" customWidth="1"/>
    <col min="10543" max="10543" width="9.140625" style="5"/>
    <col min="10544" max="10544" width="15.140625" style="5" customWidth="1"/>
    <col min="10545" max="10553" width="9.140625" style="5"/>
    <col min="10554" max="10554" width="10.5703125" style="5" customWidth="1"/>
    <col min="10555" max="10559" width="9.140625" style="5"/>
    <col min="10560" max="10560" width="9" style="5" bestFit="1" customWidth="1"/>
    <col min="10561" max="10561" width="12.140625" style="5" customWidth="1"/>
    <col min="10562" max="10562" width="13.28515625" style="5" customWidth="1"/>
    <col min="10563" max="10563" width="9.140625" style="5"/>
    <col min="10564" max="10564" width="13.140625" style="5" customWidth="1"/>
    <col min="10565" max="10565" width="11.5703125" style="5" customWidth="1"/>
    <col min="10566" max="10566" width="15.42578125" style="5" bestFit="1" customWidth="1"/>
    <col min="10567" max="10584" width="9.140625" style="5"/>
    <col min="10585" max="10587" width="11.140625" style="5" customWidth="1"/>
    <col min="10588" max="10588" width="14.85546875" style="5" bestFit="1" customWidth="1"/>
    <col min="10589" max="10594" width="14.85546875" style="5" customWidth="1"/>
    <col min="10595" max="10598" width="11.140625" style="5" customWidth="1"/>
    <col min="10599" max="10599" width="11" style="5" customWidth="1"/>
    <col min="10600" max="10600" width="13.28515625" style="5" customWidth="1"/>
    <col min="10601" max="10601" width="12.42578125" style="5" customWidth="1"/>
    <col min="10602" max="10610" width="14.85546875" style="5" customWidth="1"/>
    <col min="10611" max="10611" width="13.140625" style="5" customWidth="1"/>
    <col min="10612" max="10612" width="13.7109375" style="5" customWidth="1"/>
    <col min="10613" max="10615" width="13.28515625" style="5" customWidth="1"/>
    <col min="10616" max="10616" width="15.7109375" style="5" customWidth="1"/>
    <col min="10617" max="10617" width="9.140625" style="5"/>
    <col min="10618" max="10618" width="10.28515625" style="5" bestFit="1" customWidth="1"/>
    <col min="10619" max="10619" width="11.5703125" style="5" bestFit="1" customWidth="1"/>
    <col min="10620" max="10620" width="9.140625" style="5" customWidth="1"/>
    <col min="10621" max="10621" width="10.42578125" style="5" customWidth="1"/>
    <col min="10622" max="10623" width="15.85546875" style="5" customWidth="1"/>
    <col min="10624" max="10625" width="16.85546875" style="5" customWidth="1"/>
    <col min="10626" max="10626" width="14.42578125" style="5" customWidth="1"/>
    <col min="10627" max="10628" width="14.28515625" style="5" customWidth="1"/>
    <col min="10629" max="10629" width="14.7109375" style="5" customWidth="1"/>
    <col min="10630" max="10630" width="15.7109375" style="5" customWidth="1"/>
    <col min="10631" max="10631" width="9.140625" style="5"/>
    <col min="10632" max="10632" width="10.28515625" style="5" bestFit="1" customWidth="1"/>
    <col min="10633" max="10633" width="9.140625" style="5"/>
    <col min="10634" max="10634" width="11.5703125" style="5" bestFit="1" customWidth="1"/>
    <col min="10635" max="10635" width="9.28515625" style="5" bestFit="1" customWidth="1"/>
    <col min="10636" max="10636" width="9.140625" style="5"/>
    <col min="10637" max="10637" width="11.7109375" style="5" customWidth="1"/>
    <col min="10638" max="10638" width="10.28515625" style="5" bestFit="1" customWidth="1"/>
    <col min="10639" max="10639" width="9.140625" style="5"/>
    <col min="10640" max="10640" width="11" style="5" bestFit="1" customWidth="1"/>
    <col min="10641" max="10641" width="10" style="5" bestFit="1" customWidth="1"/>
    <col min="10642" max="10642" width="10.28515625" style="5" bestFit="1" customWidth="1"/>
    <col min="10643" max="10643" width="9.28515625" style="5" bestFit="1" customWidth="1"/>
    <col min="10644" max="10644" width="11.28515625" style="5" bestFit="1" customWidth="1"/>
    <col min="10645" max="10645" width="9.42578125" style="5" bestFit="1" customWidth="1"/>
    <col min="10646" max="10646" width="8.140625" style="5" bestFit="1" customWidth="1"/>
    <col min="10647" max="10647" width="10" style="5" bestFit="1" customWidth="1"/>
    <col min="10648" max="10648" width="10.28515625" style="5" bestFit="1" customWidth="1"/>
    <col min="10649" max="10649" width="8.7109375" style="5" customWidth="1"/>
    <col min="10650" max="10650" width="10.28515625" style="5" bestFit="1" customWidth="1"/>
    <col min="10651" max="10651" width="11.28515625" style="5" bestFit="1" customWidth="1"/>
    <col min="10652" max="10652" width="10.85546875" style="5" bestFit="1" customWidth="1"/>
    <col min="10653" max="10653" width="9.85546875" style="5" bestFit="1" customWidth="1"/>
    <col min="10654" max="10655" width="9.140625" style="5"/>
    <col min="10656" max="10656" width="9.85546875" style="5" bestFit="1" customWidth="1"/>
    <col min="10657" max="10660" width="9.140625" style="5"/>
    <col min="10661" max="10661" width="13.5703125" style="5" bestFit="1" customWidth="1"/>
    <col min="10662" max="10662" width="10.28515625" style="5" bestFit="1" customWidth="1"/>
    <col min="10663" max="10777" width="9.140625" style="5"/>
    <col min="10778" max="10778" width="3.7109375" style="5" customWidth="1"/>
    <col min="10779" max="10779" width="26.5703125" style="5" customWidth="1"/>
    <col min="10780" max="10781" width="13.7109375" style="5" customWidth="1"/>
    <col min="10782" max="10782" width="11.42578125" style="5" customWidth="1"/>
    <col min="10783" max="10783" width="13.42578125" style="5" customWidth="1"/>
    <col min="10784" max="10784" width="11.140625" style="5" customWidth="1"/>
    <col min="10785" max="10785" width="10.28515625" style="5" customWidth="1"/>
    <col min="10786" max="10786" width="9.42578125" style="5" customWidth="1"/>
    <col min="10787" max="10787" width="8.140625" style="5" customWidth="1"/>
    <col min="10788" max="10788" width="11.42578125" style="5" customWidth="1"/>
    <col min="10789" max="10789" width="7.7109375" style="5" customWidth="1"/>
    <col min="10790" max="10790" width="9" style="5" customWidth="1"/>
    <col min="10791" max="10792" width="9.140625" style="5" customWidth="1"/>
    <col min="10793" max="10797" width="9.140625" style="5"/>
    <col min="10798" max="10798" width="9" style="5" customWidth="1"/>
    <col min="10799" max="10799" width="9.140625" style="5"/>
    <col min="10800" max="10800" width="15.140625" style="5" customWidth="1"/>
    <col min="10801" max="10809" width="9.140625" style="5"/>
    <col min="10810" max="10810" width="10.5703125" style="5" customWidth="1"/>
    <col min="10811" max="10815" width="9.140625" style="5"/>
    <col min="10816" max="10816" width="9" style="5" bestFit="1" customWidth="1"/>
    <col min="10817" max="10817" width="12.140625" style="5" customWidth="1"/>
    <col min="10818" max="10818" width="13.28515625" style="5" customWidth="1"/>
    <col min="10819" max="10819" width="9.140625" style="5"/>
    <col min="10820" max="10820" width="13.140625" style="5" customWidth="1"/>
    <col min="10821" max="10821" width="11.5703125" style="5" customWidth="1"/>
    <col min="10822" max="10822" width="15.42578125" style="5" bestFit="1" customWidth="1"/>
    <col min="10823" max="10840" width="9.140625" style="5"/>
    <col min="10841" max="10843" width="11.140625" style="5" customWidth="1"/>
    <col min="10844" max="10844" width="14.85546875" style="5" bestFit="1" customWidth="1"/>
    <col min="10845" max="10850" width="14.85546875" style="5" customWidth="1"/>
    <col min="10851" max="10854" width="11.140625" style="5" customWidth="1"/>
    <col min="10855" max="10855" width="11" style="5" customWidth="1"/>
    <col min="10856" max="10856" width="13.28515625" style="5" customWidth="1"/>
    <col min="10857" max="10857" width="12.42578125" style="5" customWidth="1"/>
    <col min="10858" max="10866" width="14.85546875" style="5" customWidth="1"/>
    <col min="10867" max="10867" width="13.140625" style="5" customWidth="1"/>
    <col min="10868" max="10868" width="13.7109375" style="5" customWidth="1"/>
    <col min="10869" max="10871" width="13.28515625" style="5" customWidth="1"/>
    <col min="10872" max="10872" width="15.7109375" style="5" customWidth="1"/>
    <col min="10873" max="10873" width="9.140625" style="5"/>
    <col min="10874" max="10874" width="10.28515625" style="5" bestFit="1" customWidth="1"/>
    <col min="10875" max="10875" width="11.5703125" style="5" bestFit="1" customWidth="1"/>
    <col min="10876" max="10876" width="9.140625" style="5" customWidth="1"/>
    <col min="10877" max="10877" width="10.42578125" style="5" customWidth="1"/>
    <col min="10878" max="10879" width="15.85546875" style="5" customWidth="1"/>
    <col min="10880" max="10881" width="16.85546875" style="5" customWidth="1"/>
    <col min="10882" max="10882" width="14.42578125" style="5" customWidth="1"/>
    <col min="10883" max="10884" width="14.28515625" style="5" customWidth="1"/>
    <col min="10885" max="10885" width="14.7109375" style="5" customWidth="1"/>
    <col min="10886" max="10886" width="15.7109375" style="5" customWidth="1"/>
    <col min="10887" max="10887" width="9.140625" style="5"/>
    <col min="10888" max="10888" width="10.28515625" style="5" bestFit="1" customWidth="1"/>
    <col min="10889" max="10889" width="9.140625" style="5"/>
    <col min="10890" max="10890" width="11.5703125" style="5" bestFit="1" customWidth="1"/>
    <col min="10891" max="10891" width="9.28515625" style="5" bestFit="1" customWidth="1"/>
    <col min="10892" max="10892" width="9.140625" style="5"/>
    <col min="10893" max="10893" width="11.7109375" style="5" customWidth="1"/>
    <col min="10894" max="10894" width="10.28515625" style="5" bestFit="1" customWidth="1"/>
    <col min="10895" max="10895" width="9.140625" style="5"/>
    <col min="10896" max="10896" width="11" style="5" bestFit="1" customWidth="1"/>
    <col min="10897" max="10897" width="10" style="5" bestFit="1" customWidth="1"/>
    <col min="10898" max="10898" width="10.28515625" style="5" bestFit="1" customWidth="1"/>
    <col min="10899" max="10899" width="9.28515625" style="5" bestFit="1" customWidth="1"/>
    <col min="10900" max="10900" width="11.28515625" style="5" bestFit="1" customWidth="1"/>
    <col min="10901" max="10901" width="9.42578125" style="5" bestFit="1" customWidth="1"/>
    <col min="10902" max="10902" width="8.140625" style="5" bestFit="1" customWidth="1"/>
    <col min="10903" max="10903" width="10" style="5" bestFit="1" customWidth="1"/>
    <col min="10904" max="10904" width="10.28515625" style="5" bestFit="1" customWidth="1"/>
    <col min="10905" max="10905" width="8.7109375" style="5" customWidth="1"/>
    <col min="10906" max="10906" width="10.28515625" style="5" bestFit="1" customWidth="1"/>
    <col min="10907" max="10907" width="11.28515625" style="5" bestFit="1" customWidth="1"/>
    <col min="10908" max="10908" width="10.85546875" style="5" bestFit="1" customWidth="1"/>
    <col min="10909" max="10909" width="9.85546875" style="5" bestFit="1" customWidth="1"/>
    <col min="10910" max="10911" width="9.140625" style="5"/>
    <col min="10912" max="10912" width="9.85546875" style="5" bestFit="1" customWidth="1"/>
    <col min="10913" max="10916" width="9.140625" style="5"/>
    <col min="10917" max="10917" width="13.5703125" style="5" bestFit="1" customWidth="1"/>
    <col min="10918" max="10918" width="10.28515625" style="5" bestFit="1" customWidth="1"/>
    <col min="10919" max="11033" width="9.140625" style="5"/>
    <col min="11034" max="11034" width="3.7109375" style="5" customWidth="1"/>
    <col min="11035" max="11035" width="26.5703125" style="5" customWidth="1"/>
    <col min="11036" max="11037" width="13.7109375" style="5" customWidth="1"/>
    <col min="11038" max="11038" width="11.42578125" style="5" customWidth="1"/>
    <col min="11039" max="11039" width="13.42578125" style="5" customWidth="1"/>
    <col min="11040" max="11040" width="11.140625" style="5" customWidth="1"/>
    <col min="11041" max="11041" width="10.28515625" style="5" customWidth="1"/>
    <col min="11042" max="11042" width="9.42578125" style="5" customWidth="1"/>
    <col min="11043" max="11043" width="8.140625" style="5" customWidth="1"/>
    <col min="11044" max="11044" width="11.42578125" style="5" customWidth="1"/>
    <col min="11045" max="11045" width="7.7109375" style="5" customWidth="1"/>
    <col min="11046" max="11046" width="9" style="5" customWidth="1"/>
    <col min="11047" max="11048" width="9.140625" style="5" customWidth="1"/>
    <col min="11049" max="11053" width="9.140625" style="5"/>
    <col min="11054" max="11054" width="9" style="5" customWidth="1"/>
    <col min="11055" max="11055" width="9.140625" style="5"/>
    <col min="11056" max="11056" width="15.140625" style="5" customWidth="1"/>
    <col min="11057" max="11065" width="9.140625" style="5"/>
    <col min="11066" max="11066" width="10.5703125" style="5" customWidth="1"/>
    <col min="11067" max="11071" width="9.140625" style="5"/>
    <col min="11072" max="11072" width="9" style="5" bestFit="1" customWidth="1"/>
    <col min="11073" max="11073" width="12.140625" style="5" customWidth="1"/>
    <col min="11074" max="11074" width="13.28515625" style="5" customWidth="1"/>
    <col min="11075" max="11075" width="9.140625" style="5"/>
    <col min="11076" max="11076" width="13.140625" style="5" customWidth="1"/>
    <col min="11077" max="11077" width="11.5703125" style="5" customWidth="1"/>
    <col min="11078" max="11078" width="15.42578125" style="5" bestFit="1" customWidth="1"/>
    <col min="11079" max="11096" width="9.140625" style="5"/>
    <col min="11097" max="11099" width="11.140625" style="5" customWidth="1"/>
    <col min="11100" max="11100" width="14.85546875" style="5" bestFit="1" customWidth="1"/>
    <col min="11101" max="11106" width="14.85546875" style="5" customWidth="1"/>
    <col min="11107" max="11110" width="11.140625" style="5" customWidth="1"/>
    <col min="11111" max="11111" width="11" style="5" customWidth="1"/>
    <col min="11112" max="11112" width="13.28515625" style="5" customWidth="1"/>
    <col min="11113" max="11113" width="12.42578125" style="5" customWidth="1"/>
    <col min="11114" max="11122" width="14.85546875" style="5" customWidth="1"/>
    <col min="11123" max="11123" width="13.140625" style="5" customWidth="1"/>
    <col min="11124" max="11124" width="13.7109375" style="5" customWidth="1"/>
    <col min="11125" max="11127" width="13.28515625" style="5" customWidth="1"/>
    <col min="11128" max="11128" width="15.7109375" style="5" customWidth="1"/>
    <col min="11129" max="11129" width="9.140625" style="5"/>
    <col min="11130" max="11130" width="10.28515625" style="5" bestFit="1" customWidth="1"/>
    <col min="11131" max="11131" width="11.5703125" style="5" bestFit="1" customWidth="1"/>
    <col min="11132" max="11132" width="9.140625" style="5" customWidth="1"/>
    <col min="11133" max="11133" width="10.42578125" style="5" customWidth="1"/>
    <col min="11134" max="11135" width="15.85546875" style="5" customWidth="1"/>
    <col min="11136" max="11137" width="16.85546875" style="5" customWidth="1"/>
    <col min="11138" max="11138" width="14.42578125" style="5" customWidth="1"/>
    <col min="11139" max="11140" width="14.28515625" style="5" customWidth="1"/>
    <col min="11141" max="11141" width="14.7109375" style="5" customWidth="1"/>
    <col min="11142" max="11142" width="15.7109375" style="5" customWidth="1"/>
    <col min="11143" max="11143" width="9.140625" style="5"/>
    <col min="11144" max="11144" width="10.28515625" style="5" bestFit="1" customWidth="1"/>
    <col min="11145" max="11145" width="9.140625" style="5"/>
    <col min="11146" max="11146" width="11.5703125" style="5" bestFit="1" customWidth="1"/>
    <col min="11147" max="11147" width="9.28515625" style="5" bestFit="1" customWidth="1"/>
    <col min="11148" max="11148" width="9.140625" style="5"/>
    <col min="11149" max="11149" width="11.7109375" style="5" customWidth="1"/>
    <col min="11150" max="11150" width="10.28515625" style="5" bestFit="1" customWidth="1"/>
    <col min="11151" max="11151" width="9.140625" style="5"/>
    <col min="11152" max="11152" width="11" style="5" bestFit="1" customWidth="1"/>
    <col min="11153" max="11153" width="10" style="5" bestFit="1" customWidth="1"/>
    <col min="11154" max="11154" width="10.28515625" style="5" bestFit="1" customWidth="1"/>
    <col min="11155" max="11155" width="9.28515625" style="5" bestFit="1" customWidth="1"/>
    <col min="11156" max="11156" width="11.28515625" style="5" bestFit="1" customWidth="1"/>
    <col min="11157" max="11157" width="9.42578125" style="5" bestFit="1" customWidth="1"/>
    <col min="11158" max="11158" width="8.140625" style="5" bestFit="1" customWidth="1"/>
    <col min="11159" max="11159" width="10" style="5" bestFit="1" customWidth="1"/>
    <col min="11160" max="11160" width="10.28515625" style="5" bestFit="1" customWidth="1"/>
    <col min="11161" max="11161" width="8.7109375" style="5" customWidth="1"/>
    <col min="11162" max="11162" width="10.28515625" style="5" bestFit="1" customWidth="1"/>
    <col min="11163" max="11163" width="11.28515625" style="5" bestFit="1" customWidth="1"/>
    <col min="11164" max="11164" width="10.85546875" style="5" bestFit="1" customWidth="1"/>
    <col min="11165" max="11165" width="9.85546875" style="5" bestFit="1" customWidth="1"/>
    <col min="11166" max="11167" width="9.140625" style="5"/>
    <col min="11168" max="11168" width="9.85546875" style="5" bestFit="1" customWidth="1"/>
    <col min="11169" max="11172" width="9.140625" style="5"/>
    <col min="11173" max="11173" width="13.5703125" style="5" bestFit="1" customWidth="1"/>
    <col min="11174" max="11174" width="10.28515625" style="5" bestFit="1" customWidth="1"/>
    <col min="11175" max="11289" width="9.140625" style="5"/>
    <col min="11290" max="11290" width="3.7109375" style="5" customWidth="1"/>
    <col min="11291" max="11291" width="26.5703125" style="5" customWidth="1"/>
    <col min="11292" max="11293" width="13.7109375" style="5" customWidth="1"/>
    <col min="11294" max="11294" width="11.42578125" style="5" customWidth="1"/>
    <col min="11295" max="11295" width="13.42578125" style="5" customWidth="1"/>
    <col min="11296" max="11296" width="11.140625" style="5" customWidth="1"/>
    <col min="11297" max="11297" width="10.28515625" style="5" customWidth="1"/>
    <col min="11298" max="11298" width="9.42578125" style="5" customWidth="1"/>
    <col min="11299" max="11299" width="8.140625" style="5" customWidth="1"/>
    <col min="11300" max="11300" width="11.42578125" style="5" customWidth="1"/>
    <col min="11301" max="11301" width="7.7109375" style="5" customWidth="1"/>
    <col min="11302" max="11302" width="9" style="5" customWidth="1"/>
    <col min="11303" max="11304" width="9.140625" style="5" customWidth="1"/>
    <col min="11305" max="11309" width="9.140625" style="5"/>
    <col min="11310" max="11310" width="9" style="5" customWidth="1"/>
    <col min="11311" max="11311" width="9.140625" style="5"/>
    <col min="11312" max="11312" width="15.140625" style="5" customWidth="1"/>
    <col min="11313" max="11321" width="9.140625" style="5"/>
    <col min="11322" max="11322" width="10.5703125" style="5" customWidth="1"/>
    <col min="11323" max="11327" width="9.140625" style="5"/>
    <col min="11328" max="11328" width="9" style="5" bestFit="1" customWidth="1"/>
    <col min="11329" max="11329" width="12.140625" style="5" customWidth="1"/>
    <col min="11330" max="11330" width="13.28515625" style="5" customWidth="1"/>
    <col min="11331" max="11331" width="9.140625" style="5"/>
    <col min="11332" max="11332" width="13.140625" style="5" customWidth="1"/>
    <col min="11333" max="11333" width="11.5703125" style="5" customWidth="1"/>
    <col min="11334" max="11334" width="15.42578125" style="5" bestFit="1" customWidth="1"/>
    <col min="11335" max="11352" width="9.140625" style="5"/>
    <col min="11353" max="11355" width="11.140625" style="5" customWidth="1"/>
    <col min="11356" max="11356" width="14.85546875" style="5" bestFit="1" customWidth="1"/>
    <col min="11357" max="11362" width="14.85546875" style="5" customWidth="1"/>
    <col min="11363" max="11366" width="11.140625" style="5" customWidth="1"/>
    <col min="11367" max="11367" width="11" style="5" customWidth="1"/>
    <col min="11368" max="11368" width="13.28515625" style="5" customWidth="1"/>
    <col min="11369" max="11369" width="12.42578125" style="5" customWidth="1"/>
    <col min="11370" max="11378" width="14.85546875" style="5" customWidth="1"/>
    <col min="11379" max="11379" width="13.140625" style="5" customWidth="1"/>
    <col min="11380" max="11380" width="13.7109375" style="5" customWidth="1"/>
    <col min="11381" max="11383" width="13.28515625" style="5" customWidth="1"/>
    <col min="11384" max="11384" width="15.7109375" style="5" customWidth="1"/>
    <col min="11385" max="11385" width="9.140625" style="5"/>
    <col min="11386" max="11386" width="10.28515625" style="5" bestFit="1" customWidth="1"/>
    <col min="11387" max="11387" width="11.5703125" style="5" bestFit="1" customWidth="1"/>
    <col min="11388" max="11388" width="9.140625" style="5" customWidth="1"/>
    <col min="11389" max="11389" width="10.42578125" style="5" customWidth="1"/>
    <col min="11390" max="11391" width="15.85546875" style="5" customWidth="1"/>
    <col min="11392" max="11393" width="16.85546875" style="5" customWidth="1"/>
    <col min="11394" max="11394" width="14.42578125" style="5" customWidth="1"/>
    <col min="11395" max="11396" width="14.28515625" style="5" customWidth="1"/>
    <col min="11397" max="11397" width="14.7109375" style="5" customWidth="1"/>
    <col min="11398" max="11398" width="15.7109375" style="5" customWidth="1"/>
    <col min="11399" max="11399" width="9.140625" style="5"/>
    <col min="11400" max="11400" width="10.28515625" style="5" bestFit="1" customWidth="1"/>
    <col min="11401" max="11401" width="9.140625" style="5"/>
    <col min="11402" max="11402" width="11.5703125" style="5" bestFit="1" customWidth="1"/>
    <col min="11403" max="11403" width="9.28515625" style="5" bestFit="1" customWidth="1"/>
    <col min="11404" max="11404" width="9.140625" style="5"/>
    <col min="11405" max="11405" width="11.7109375" style="5" customWidth="1"/>
    <col min="11406" max="11406" width="10.28515625" style="5" bestFit="1" customWidth="1"/>
    <col min="11407" max="11407" width="9.140625" style="5"/>
    <col min="11408" max="11408" width="11" style="5" bestFit="1" customWidth="1"/>
    <col min="11409" max="11409" width="10" style="5" bestFit="1" customWidth="1"/>
    <col min="11410" max="11410" width="10.28515625" style="5" bestFit="1" customWidth="1"/>
    <col min="11411" max="11411" width="9.28515625" style="5" bestFit="1" customWidth="1"/>
    <col min="11412" max="11412" width="11.28515625" style="5" bestFit="1" customWidth="1"/>
    <col min="11413" max="11413" width="9.42578125" style="5" bestFit="1" customWidth="1"/>
    <col min="11414" max="11414" width="8.140625" style="5" bestFit="1" customWidth="1"/>
    <col min="11415" max="11415" width="10" style="5" bestFit="1" customWidth="1"/>
    <col min="11416" max="11416" width="10.28515625" style="5" bestFit="1" customWidth="1"/>
    <col min="11417" max="11417" width="8.7109375" style="5" customWidth="1"/>
    <col min="11418" max="11418" width="10.28515625" style="5" bestFit="1" customWidth="1"/>
    <col min="11419" max="11419" width="11.28515625" style="5" bestFit="1" customWidth="1"/>
    <col min="11420" max="11420" width="10.85546875" style="5" bestFit="1" customWidth="1"/>
    <col min="11421" max="11421" width="9.85546875" style="5" bestFit="1" customWidth="1"/>
    <col min="11422" max="11423" width="9.140625" style="5"/>
    <col min="11424" max="11424" width="9.85546875" style="5" bestFit="1" customWidth="1"/>
    <col min="11425" max="11428" width="9.140625" style="5"/>
    <col min="11429" max="11429" width="13.5703125" style="5" bestFit="1" customWidth="1"/>
    <col min="11430" max="11430" width="10.28515625" style="5" bestFit="1" customWidth="1"/>
    <col min="11431" max="11545" width="9.140625" style="5"/>
    <col min="11546" max="11546" width="3.7109375" style="5" customWidth="1"/>
    <col min="11547" max="11547" width="26.5703125" style="5" customWidth="1"/>
    <col min="11548" max="11549" width="13.7109375" style="5" customWidth="1"/>
    <col min="11550" max="11550" width="11.42578125" style="5" customWidth="1"/>
    <col min="11551" max="11551" width="13.42578125" style="5" customWidth="1"/>
    <col min="11552" max="11552" width="11.140625" style="5" customWidth="1"/>
    <col min="11553" max="11553" width="10.28515625" style="5" customWidth="1"/>
    <col min="11554" max="11554" width="9.42578125" style="5" customWidth="1"/>
    <col min="11555" max="11555" width="8.140625" style="5" customWidth="1"/>
    <col min="11556" max="11556" width="11.42578125" style="5" customWidth="1"/>
    <col min="11557" max="11557" width="7.7109375" style="5" customWidth="1"/>
    <col min="11558" max="11558" width="9" style="5" customWidth="1"/>
    <col min="11559" max="11560" width="9.140625" style="5" customWidth="1"/>
    <col min="11561" max="11565" width="9.140625" style="5"/>
    <col min="11566" max="11566" width="9" style="5" customWidth="1"/>
    <col min="11567" max="11567" width="9.140625" style="5"/>
    <col min="11568" max="11568" width="15.140625" style="5" customWidth="1"/>
    <col min="11569" max="11577" width="9.140625" style="5"/>
    <col min="11578" max="11578" width="10.5703125" style="5" customWidth="1"/>
    <col min="11579" max="11583" width="9.140625" style="5"/>
    <col min="11584" max="11584" width="9" style="5" bestFit="1" customWidth="1"/>
    <col min="11585" max="11585" width="12.140625" style="5" customWidth="1"/>
    <col min="11586" max="11586" width="13.28515625" style="5" customWidth="1"/>
    <col min="11587" max="11587" width="9.140625" style="5"/>
    <col min="11588" max="11588" width="13.140625" style="5" customWidth="1"/>
    <col min="11589" max="11589" width="11.5703125" style="5" customWidth="1"/>
    <col min="11590" max="11590" width="15.42578125" style="5" bestFit="1" customWidth="1"/>
    <col min="11591" max="11608" width="9.140625" style="5"/>
    <col min="11609" max="11611" width="11.140625" style="5" customWidth="1"/>
    <col min="11612" max="11612" width="14.85546875" style="5" bestFit="1" customWidth="1"/>
    <col min="11613" max="11618" width="14.85546875" style="5" customWidth="1"/>
    <col min="11619" max="11622" width="11.140625" style="5" customWidth="1"/>
    <col min="11623" max="11623" width="11" style="5" customWidth="1"/>
    <col min="11624" max="11624" width="13.28515625" style="5" customWidth="1"/>
    <col min="11625" max="11625" width="12.42578125" style="5" customWidth="1"/>
    <col min="11626" max="11634" width="14.85546875" style="5" customWidth="1"/>
    <col min="11635" max="11635" width="13.140625" style="5" customWidth="1"/>
    <col min="11636" max="11636" width="13.7109375" style="5" customWidth="1"/>
    <col min="11637" max="11639" width="13.28515625" style="5" customWidth="1"/>
    <col min="11640" max="11640" width="15.7109375" style="5" customWidth="1"/>
    <col min="11641" max="11641" width="9.140625" style="5"/>
    <col min="11642" max="11642" width="10.28515625" style="5" bestFit="1" customWidth="1"/>
    <col min="11643" max="11643" width="11.5703125" style="5" bestFit="1" customWidth="1"/>
    <col min="11644" max="11644" width="9.140625" style="5" customWidth="1"/>
    <col min="11645" max="11645" width="10.42578125" style="5" customWidth="1"/>
    <col min="11646" max="11647" width="15.85546875" style="5" customWidth="1"/>
    <col min="11648" max="11649" width="16.85546875" style="5" customWidth="1"/>
    <col min="11650" max="11650" width="14.42578125" style="5" customWidth="1"/>
    <col min="11651" max="11652" width="14.28515625" style="5" customWidth="1"/>
    <col min="11653" max="11653" width="14.7109375" style="5" customWidth="1"/>
    <col min="11654" max="11654" width="15.7109375" style="5" customWidth="1"/>
    <col min="11655" max="11655" width="9.140625" style="5"/>
    <col min="11656" max="11656" width="10.28515625" style="5" bestFit="1" customWidth="1"/>
    <col min="11657" max="11657" width="9.140625" style="5"/>
    <col min="11658" max="11658" width="11.5703125" style="5" bestFit="1" customWidth="1"/>
    <col min="11659" max="11659" width="9.28515625" style="5" bestFit="1" customWidth="1"/>
    <col min="11660" max="11660" width="9.140625" style="5"/>
    <col min="11661" max="11661" width="11.7109375" style="5" customWidth="1"/>
    <col min="11662" max="11662" width="10.28515625" style="5" bestFit="1" customWidth="1"/>
    <col min="11663" max="11663" width="9.140625" style="5"/>
    <col min="11664" max="11664" width="11" style="5" bestFit="1" customWidth="1"/>
    <col min="11665" max="11665" width="10" style="5" bestFit="1" customWidth="1"/>
    <col min="11666" max="11666" width="10.28515625" style="5" bestFit="1" customWidth="1"/>
    <col min="11667" max="11667" width="9.28515625" style="5" bestFit="1" customWidth="1"/>
    <col min="11668" max="11668" width="11.28515625" style="5" bestFit="1" customWidth="1"/>
    <col min="11669" max="11669" width="9.42578125" style="5" bestFit="1" customWidth="1"/>
    <col min="11670" max="11670" width="8.140625" style="5" bestFit="1" customWidth="1"/>
    <col min="11671" max="11671" width="10" style="5" bestFit="1" customWidth="1"/>
    <col min="11672" max="11672" width="10.28515625" style="5" bestFit="1" customWidth="1"/>
    <col min="11673" max="11673" width="8.7109375" style="5" customWidth="1"/>
    <col min="11674" max="11674" width="10.28515625" style="5" bestFit="1" customWidth="1"/>
    <col min="11675" max="11675" width="11.28515625" style="5" bestFit="1" customWidth="1"/>
    <col min="11676" max="11676" width="10.85546875" style="5" bestFit="1" customWidth="1"/>
    <col min="11677" max="11677" width="9.85546875" style="5" bestFit="1" customWidth="1"/>
    <col min="11678" max="11679" width="9.140625" style="5"/>
    <col min="11680" max="11680" width="9.85546875" style="5" bestFit="1" customWidth="1"/>
    <col min="11681" max="11684" width="9.140625" style="5"/>
    <col min="11685" max="11685" width="13.5703125" style="5" bestFit="1" customWidth="1"/>
    <col min="11686" max="11686" width="10.28515625" style="5" bestFit="1" customWidth="1"/>
    <col min="11687" max="11801" width="9.140625" style="5"/>
    <col min="11802" max="11802" width="3.7109375" style="5" customWidth="1"/>
    <col min="11803" max="11803" width="26.5703125" style="5" customWidth="1"/>
    <col min="11804" max="11805" width="13.7109375" style="5" customWidth="1"/>
    <col min="11806" max="11806" width="11.42578125" style="5" customWidth="1"/>
    <col min="11807" max="11807" width="13.42578125" style="5" customWidth="1"/>
    <col min="11808" max="11808" width="11.140625" style="5" customWidth="1"/>
    <col min="11809" max="11809" width="10.28515625" style="5" customWidth="1"/>
    <col min="11810" max="11810" width="9.42578125" style="5" customWidth="1"/>
    <col min="11811" max="11811" width="8.140625" style="5" customWidth="1"/>
    <col min="11812" max="11812" width="11.42578125" style="5" customWidth="1"/>
    <col min="11813" max="11813" width="7.7109375" style="5" customWidth="1"/>
    <col min="11814" max="11814" width="9" style="5" customWidth="1"/>
    <col min="11815" max="11816" width="9.140625" style="5" customWidth="1"/>
    <col min="11817" max="11821" width="9.140625" style="5"/>
    <col min="11822" max="11822" width="9" style="5" customWidth="1"/>
    <col min="11823" max="11823" width="9.140625" style="5"/>
    <col min="11824" max="11824" width="15.140625" style="5" customWidth="1"/>
    <col min="11825" max="11833" width="9.140625" style="5"/>
    <col min="11834" max="11834" width="10.5703125" style="5" customWidth="1"/>
    <col min="11835" max="11839" width="9.140625" style="5"/>
    <col min="11840" max="11840" width="9" style="5" bestFit="1" customWidth="1"/>
    <col min="11841" max="11841" width="12.140625" style="5" customWidth="1"/>
    <col min="11842" max="11842" width="13.28515625" style="5" customWidth="1"/>
    <col min="11843" max="11843" width="9.140625" style="5"/>
    <col min="11844" max="11844" width="13.140625" style="5" customWidth="1"/>
    <col min="11845" max="11845" width="11.5703125" style="5" customWidth="1"/>
    <col min="11846" max="11846" width="15.42578125" style="5" bestFit="1" customWidth="1"/>
    <col min="11847" max="11864" width="9.140625" style="5"/>
    <col min="11865" max="11867" width="11.140625" style="5" customWidth="1"/>
    <col min="11868" max="11868" width="14.85546875" style="5" bestFit="1" customWidth="1"/>
    <col min="11869" max="11874" width="14.85546875" style="5" customWidth="1"/>
    <col min="11875" max="11878" width="11.140625" style="5" customWidth="1"/>
    <col min="11879" max="11879" width="11" style="5" customWidth="1"/>
    <col min="11880" max="11880" width="13.28515625" style="5" customWidth="1"/>
    <col min="11881" max="11881" width="12.42578125" style="5" customWidth="1"/>
    <col min="11882" max="11890" width="14.85546875" style="5" customWidth="1"/>
    <col min="11891" max="11891" width="13.140625" style="5" customWidth="1"/>
    <col min="11892" max="11892" width="13.7109375" style="5" customWidth="1"/>
    <col min="11893" max="11895" width="13.28515625" style="5" customWidth="1"/>
    <col min="11896" max="11896" width="15.7109375" style="5" customWidth="1"/>
    <col min="11897" max="11897" width="9.140625" style="5"/>
    <col min="11898" max="11898" width="10.28515625" style="5" bestFit="1" customWidth="1"/>
    <col min="11899" max="11899" width="11.5703125" style="5" bestFit="1" customWidth="1"/>
    <col min="11900" max="11900" width="9.140625" style="5" customWidth="1"/>
    <col min="11901" max="11901" width="10.42578125" style="5" customWidth="1"/>
    <col min="11902" max="11903" width="15.85546875" style="5" customWidth="1"/>
    <col min="11904" max="11905" width="16.85546875" style="5" customWidth="1"/>
    <col min="11906" max="11906" width="14.42578125" style="5" customWidth="1"/>
    <col min="11907" max="11908" width="14.28515625" style="5" customWidth="1"/>
    <col min="11909" max="11909" width="14.7109375" style="5" customWidth="1"/>
    <col min="11910" max="11910" width="15.7109375" style="5" customWidth="1"/>
    <col min="11911" max="11911" width="9.140625" style="5"/>
    <col min="11912" max="11912" width="10.28515625" style="5" bestFit="1" customWidth="1"/>
    <col min="11913" max="11913" width="9.140625" style="5"/>
    <col min="11914" max="11914" width="11.5703125" style="5" bestFit="1" customWidth="1"/>
    <col min="11915" max="11915" width="9.28515625" style="5" bestFit="1" customWidth="1"/>
    <col min="11916" max="11916" width="9.140625" style="5"/>
    <col min="11917" max="11917" width="11.7109375" style="5" customWidth="1"/>
    <col min="11918" max="11918" width="10.28515625" style="5" bestFit="1" customWidth="1"/>
    <col min="11919" max="11919" width="9.140625" style="5"/>
    <col min="11920" max="11920" width="11" style="5" bestFit="1" customWidth="1"/>
    <col min="11921" max="11921" width="10" style="5" bestFit="1" customWidth="1"/>
    <col min="11922" max="11922" width="10.28515625" style="5" bestFit="1" customWidth="1"/>
    <col min="11923" max="11923" width="9.28515625" style="5" bestFit="1" customWidth="1"/>
    <col min="11924" max="11924" width="11.28515625" style="5" bestFit="1" customWidth="1"/>
    <col min="11925" max="11925" width="9.42578125" style="5" bestFit="1" customWidth="1"/>
    <col min="11926" max="11926" width="8.140625" style="5" bestFit="1" customWidth="1"/>
    <col min="11927" max="11927" width="10" style="5" bestFit="1" customWidth="1"/>
    <col min="11928" max="11928" width="10.28515625" style="5" bestFit="1" customWidth="1"/>
    <col min="11929" max="11929" width="8.7109375" style="5" customWidth="1"/>
    <col min="11930" max="11930" width="10.28515625" style="5" bestFit="1" customWidth="1"/>
    <col min="11931" max="11931" width="11.28515625" style="5" bestFit="1" customWidth="1"/>
    <col min="11932" max="11932" width="10.85546875" style="5" bestFit="1" customWidth="1"/>
    <col min="11933" max="11933" width="9.85546875" style="5" bestFit="1" customWidth="1"/>
    <col min="11934" max="11935" width="9.140625" style="5"/>
    <col min="11936" max="11936" width="9.85546875" style="5" bestFit="1" customWidth="1"/>
    <col min="11937" max="11940" width="9.140625" style="5"/>
    <col min="11941" max="11941" width="13.5703125" style="5" bestFit="1" customWidth="1"/>
    <col min="11942" max="11942" width="10.28515625" style="5" bestFit="1" customWidth="1"/>
    <col min="11943" max="12057" width="9.140625" style="5"/>
    <col min="12058" max="12058" width="3.7109375" style="5" customWidth="1"/>
    <col min="12059" max="12059" width="26.5703125" style="5" customWidth="1"/>
    <col min="12060" max="12061" width="13.7109375" style="5" customWidth="1"/>
    <col min="12062" max="12062" width="11.42578125" style="5" customWidth="1"/>
    <col min="12063" max="12063" width="13.42578125" style="5" customWidth="1"/>
    <col min="12064" max="12064" width="11.140625" style="5" customWidth="1"/>
    <col min="12065" max="12065" width="10.28515625" style="5" customWidth="1"/>
    <col min="12066" max="12066" width="9.42578125" style="5" customWidth="1"/>
    <col min="12067" max="12067" width="8.140625" style="5" customWidth="1"/>
    <col min="12068" max="12068" width="11.42578125" style="5" customWidth="1"/>
    <col min="12069" max="12069" width="7.7109375" style="5" customWidth="1"/>
    <col min="12070" max="12070" width="9" style="5" customWidth="1"/>
    <col min="12071" max="12072" width="9.140625" style="5" customWidth="1"/>
    <col min="12073" max="12077" width="9.140625" style="5"/>
    <col min="12078" max="12078" width="9" style="5" customWidth="1"/>
    <col min="12079" max="12079" width="9.140625" style="5"/>
    <col min="12080" max="12080" width="15.140625" style="5" customWidth="1"/>
    <col min="12081" max="12089" width="9.140625" style="5"/>
    <col min="12090" max="12090" width="10.5703125" style="5" customWidth="1"/>
    <col min="12091" max="12095" width="9.140625" style="5"/>
    <col min="12096" max="12096" width="9" style="5" bestFit="1" customWidth="1"/>
    <col min="12097" max="12097" width="12.140625" style="5" customWidth="1"/>
    <col min="12098" max="12098" width="13.28515625" style="5" customWidth="1"/>
    <col min="12099" max="12099" width="9.140625" style="5"/>
    <col min="12100" max="12100" width="13.140625" style="5" customWidth="1"/>
    <col min="12101" max="12101" width="11.5703125" style="5" customWidth="1"/>
    <col min="12102" max="12102" width="15.42578125" style="5" bestFit="1" customWidth="1"/>
    <col min="12103" max="12120" width="9.140625" style="5"/>
    <col min="12121" max="12123" width="11.140625" style="5" customWidth="1"/>
    <col min="12124" max="12124" width="14.85546875" style="5" bestFit="1" customWidth="1"/>
    <col min="12125" max="12130" width="14.85546875" style="5" customWidth="1"/>
    <col min="12131" max="12134" width="11.140625" style="5" customWidth="1"/>
    <col min="12135" max="12135" width="11" style="5" customWidth="1"/>
    <col min="12136" max="12136" width="13.28515625" style="5" customWidth="1"/>
    <col min="12137" max="12137" width="12.42578125" style="5" customWidth="1"/>
    <col min="12138" max="12146" width="14.85546875" style="5" customWidth="1"/>
    <col min="12147" max="12147" width="13.140625" style="5" customWidth="1"/>
    <col min="12148" max="12148" width="13.7109375" style="5" customWidth="1"/>
    <col min="12149" max="12151" width="13.28515625" style="5" customWidth="1"/>
    <col min="12152" max="12152" width="15.7109375" style="5" customWidth="1"/>
    <col min="12153" max="12153" width="9.140625" style="5"/>
    <col min="12154" max="12154" width="10.28515625" style="5" bestFit="1" customWidth="1"/>
    <col min="12155" max="12155" width="11.5703125" style="5" bestFit="1" customWidth="1"/>
    <col min="12156" max="12156" width="9.140625" style="5" customWidth="1"/>
    <col min="12157" max="12157" width="10.42578125" style="5" customWidth="1"/>
    <col min="12158" max="12159" width="15.85546875" style="5" customWidth="1"/>
    <col min="12160" max="12161" width="16.85546875" style="5" customWidth="1"/>
    <col min="12162" max="12162" width="14.42578125" style="5" customWidth="1"/>
    <col min="12163" max="12164" width="14.28515625" style="5" customWidth="1"/>
    <col min="12165" max="12165" width="14.7109375" style="5" customWidth="1"/>
    <col min="12166" max="12166" width="15.7109375" style="5" customWidth="1"/>
    <col min="12167" max="12167" width="9.140625" style="5"/>
    <col min="12168" max="12168" width="10.28515625" style="5" bestFit="1" customWidth="1"/>
    <col min="12169" max="12169" width="9.140625" style="5"/>
    <col min="12170" max="12170" width="11.5703125" style="5" bestFit="1" customWidth="1"/>
    <col min="12171" max="12171" width="9.28515625" style="5" bestFit="1" customWidth="1"/>
    <col min="12172" max="12172" width="9.140625" style="5"/>
    <col min="12173" max="12173" width="11.7109375" style="5" customWidth="1"/>
    <col min="12174" max="12174" width="10.28515625" style="5" bestFit="1" customWidth="1"/>
    <col min="12175" max="12175" width="9.140625" style="5"/>
    <col min="12176" max="12176" width="11" style="5" bestFit="1" customWidth="1"/>
    <col min="12177" max="12177" width="10" style="5" bestFit="1" customWidth="1"/>
    <col min="12178" max="12178" width="10.28515625" style="5" bestFit="1" customWidth="1"/>
    <col min="12179" max="12179" width="9.28515625" style="5" bestFit="1" customWidth="1"/>
    <col min="12180" max="12180" width="11.28515625" style="5" bestFit="1" customWidth="1"/>
    <col min="12181" max="12181" width="9.42578125" style="5" bestFit="1" customWidth="1"/>
    <col min="12182" max="12182" width="8.140625" style="5" bestFit="1" customWidth="1"/>
    <col min="12183" max="12183" width="10" style="5" bestFit="1" customWidth="1"/>
    <col min="12184" max="12184" width="10.28515625" style="5" bestFit="1" customWidth="1"/>
    <col min="12185" max="12185" width="8.7109375" style="5" customWidth="1"/>
    <col min="12186" max="12186" width="10.28515625" style="5" bestFit="1" customWidth="1"/>
    <col min="12187" max="12187" width="11.28515625" style="5" bestFit="1" customWidth="1"/>
    <col min="12188" max="12188" width="10.85546875" style="5" bestFit="1" customWidth="1"/>
    <col min="12189" max="12189" width="9.85546875" style="5" bestFit="1" customWidth="1"/>
    <col min="12190" max="12191" width="9.140625" style="5"/>
    <col min="12192" max="12192" width="9.85546875" style="5" bestFit="1" customWidth="1"/>
    <col min="12193" max="12196" width="9.140625" style="5"/>
    <col min="12197" max="12197" width="13.5703125" style="5" bestFit="1" customWidth="1"/>
    <col min="12198" max="12198" width="10.28515625" style="5" bestFit="1" customWidth="1"/>
    <col min="12199" max="12313" width="9.140625" style="5"/>
    <col min="12314" max="12314" width="3.7109375" style="5" customWidth="1"/>
    <col min="12315" max="12315" width="26.5703125" style="5" customWidth="1"/>
    <col min="12316" max="12317" width="13.7109375" style="5" customWidth="1"/>
    <col min="12318" max="12318" width="11.42578125" style="5" customWidth="1"/>
    <col min="12319" max="12319" width="13.42578125" style="5" customWidth="1"/>
    <col min="12320" max="12320" width="11.140625" style="5" customWidth="1"/>
    <col min="12321" max="12321" width="10.28515625" style="5" customWidth="1"/>
    <col min="12322" max="12322" width="9.42578125" style="5" customWidth="1"/>
    <col min="12323" max="12323" width="8.140625" style="5" customWidth="1"/>
    <col min="12324" max="12324" width="11.42578125" style="5" customWidth="1"/>
    <col min="12325" max="12325" width="7.7109375" style="5" customWidth="1"/>
    <col min="12326" max="12326" width="9" style="5" customWidth="1"/>
    <col min="12327" max="12328" width="9.140625" style="5" customWidth="1"/>
    <col min="12329" max="12333" width="9.140625" style="5"/>
    <col min="12334" max="12334" width="9" style="5" customWidth="1"/>
    <col min="12335" max="12335" width="9.140625" style="5"/>
    <col min="12336" max="12336" width="15.140625" style="5" customWidth="1"/>
    <col min="12337" max="12345" width="9.140625" style="5"/>
    <col min="12346" max="12346" width="10.5703125" style="5" customWidth="1"/>
    <col min="12347" max="12351" width="9.140625" style="5"/>
    <col min="12352" max="12352" width="9" style="5" bestFit="1" customWidth="1"/>
    <col min="12353" max="12353" width="12.140625" style="5" customWidth="1"/>
    <col min="12354" max="12354" width="13.28515625" style="5" customWidth="1"/>
    <col min="12355" max="12355" width="9.140625" style="5"/>
    <col min="12356" max="12356" width="13.140625" style="5" customWidth="1"/>
    <col min="12357" max="12357" width="11.5703125" style="5" customWidth="1"/>
    <col min="12358" max="12358" width="15.42578125" style="5" bestFit="1" customWidth="1"/>
    <col min="12359" max="12376" width="9.140625" style="5"/>
    <col min="12377" max="12379" width="11.140625" style="5" customWidth="1"/>
    <col min="12380" max="12380" width="14.85546875" style="5" bestFit="1" customWidth="1"/>
    <col min="12381" max="12386" width="14.85546875" style="5" customWidth="1"/>
    <col min="12387" max="12390" width="11.140625" style="5" customWidth="1"/>
    <col min="12391" max="12391" width="11" style="5" customWidth="1"/>
    <col min="12392" max="12392" width="13.28515625" style="5" customWidth="1"/>
    <col min="12393" max="12393" width="12.42578125" style="5" customWidth="1"/>
    <col min="12394" max="12402" width="14.85546875" style="5" customWidth="1"/>
    <col min="12403" max="12403" width="13.140625" style="5" customWidth="1"/>
    <col min="12404" max="12404" width="13.7109375" style="5" customWidth="1"/>
    <col min="12405" max="12407" width="13.28515625" style="5" customWidth="1"/>
    <col min="12408" max="12408" width="15.7109375" style="5" customWidth="1"/>
    <col min="12409" max="12409" width="9.140625" style="5"/>
    <col min="12410" max="12410" width="10.28515625" style="5" bestFit="1" customWidth="1"/>
    <col min="12411" max="12411" width="11.5703125" style="5" bestFit="1" customWidth="1"/>
    <col min="12412" max="12412" width="9.140625" style="5" customWidth="1"/>
    <col min="12413" max="12413" width="10.42578125" style="5" customWidth="1"/>
    <col min="12414" max="12415" width="15.85546875" style="5" customWidth="1"/>
    <col min="12416" max="12417" width="16.85546875" style="5" customWidth="1"/>
    <col min="12418" max="12418" width="14.42578125" style="5" customWidth="1"/>
    <col min="12419" max="12420" width="14.28515625" style="5" customWidth="1"/>
    <col min="12421" max="12421" width="14.7109375" style="5" customWidth="1"/>
    <col min="12422" max="12422" width="15.7109375" style="5" customWidth="1"/>
    <col min="12423" max="12423" width="9.140625" style="5"/>
    <col min="12424" max="12424" width="10.28515625" style="5" bestFit="1" customWidth="1"/>
    <col min="12425" max="12425" width="9.140625" style="5"/>
    <col min="12426" max="12426" width="11.5703125" style="5" bestFit="1" customWidth="1"/>
    <col min="12427" max="12427" width="9.28515625" style="5" bestFit="1" customWidth="1"/>
    <col min="12428" max="12428" width="9.140625" style="5"/>
    <col min="12429" max="12429" width="11.7109375" style="5" customWidth="1"/>
    <col min="12430" max="12430" width="10.28515625" style="5" bestFit="1" customWidth="1"/>
    <col min="12431" max="12431" width="9.140625" style="5"/>
    <col min="12432" max="12432" width="11" style="5" bestFit="1" customWidth="1"/>
    <col min="12433" max="12433" width="10" style="5" bestFit="1" customWidth="1"/>
    <col min="12434" max="12434" width="10.28515625" style="5" bestFit="1" customWidth="1"/>
    <col min="12435" max="12435" width="9.28515625" style="5" bestFit="1" customWidth="1"/>
    <col min="12436" max="12436" width="11.28515625" style="5" bestFit="1" customWidth="1"/>
    <col min="12437" max="12437" width="9.42578125" style="5" bestFit="1" customWidth="1"/>
    <col min="12438" max="12438" width="8.140625" style="5" bestFit="1" customWidth="1"/>
    <col min="12439" max="12439" width="10" style="5" bestFit="1" customWidth="1"/>
    <col min="12440" max="12440" width="10.28515625" style="5" bestFit="1" customWidth="1"/>
    <col min="12441" max="12441" width="8.7109375" style="5" customWidth="1"/>
    <col min="12442" max="12442" width="10.28515625" style="5" bestFit="1" customWidth="1"/>
    <col min="12443" max="12443" width="11.28515625" style="5" bestFit="1" customWidth="1"/>
    <col min="12444" max="12444" width="10.85546875" style="5" bestFit="1" customWidth="1"/>
    <col min="12445" max="12445" width="9.85546875" style="5" bestFit="1" customWidth="1"/>
    <col min="12446" max="12447" width="9.140625" style="5"/>
    <col min="12448" max="12448" width="9.85546875" style="5" bestFit="1" customWidth="1"/>
    <col min="12449" max="12452" width="9.140625" style="5"/>
    <col min="12453" max="12453" width="13.5703125" style="5" bestFit="1" customWidth="1"/>
    <col min="12454" max="12454" width="10.28515625" style="5" bestFit="1" customWidth="1"/>
    <col min="12455" max="12569" width="9.140625" style="5"/>
    <col min="12570" max="12570" width="3.7109375" style="5" customWidth="1"/>
    <col min="12571" max="12571" width="26.5703125" style="5" customWidth="1"/>
    <col min="12572" max="12573" width="13.7109375" style="5" customWidth="1"/>
    <col min="12574" max="12574" width="11.42578125" style="5" customWidth="1"/>
    <col min="12575" max="12575" width="13.42578125" style="5" customWidth="1"/>
    <col min="12576" max="12576" width="11.140625" style="5" customWidth="1"/>
    <col min="12577" max="12577" width="10.28515625" style="5" customWidth="1"/>
    <col min="12578" max="12578" width="9.42578125" style="5" customWidth="1"/>
    <col min="12579" max="12579" width="8.140625" style="5" customWidth="1"/>
    <col min="12580" max="12580" width="11.42578125" style="5" customWidth="1"/>
    <col min="12581" max="12581" width="7.7109375" style="5" customWidth="1"/>
    <col min="12582" max="12582" width="9" style="5" customWidth="1"/>
    <col min="12583" max="12584" width="9.140625" style="5" customWidth="1"/>
    <col min="12585" max="12589" width="9.140625" style="5"/>
    <col min="12590" max="12590" width="9" style="5" customWidth="1"/>
    <col min="12591" max="12591" width="9.140625" style="5"/>
    <col min="12592" max="12592" width="15.140625" style="5" customWidth="1"/>
    <col min="12593" max="12601" width="9.140625" style="5"/>
    <col min="12602" max="12602" width="10.5703125" style="5" customWidth="1"/>
    <col min="12603" max="12607" width="9.140625" style="5"/>
    <col min="12608" max="12608" width="9" style="5" bestFit="1" customWidth="1"/>
    <col min="12609" max="12609" width="12.140625" style="5" customWidth="1"/>
    <col min="12610" max="12610" width="13.28515625" style="5" customWidth="1"/>
    <col min="12611" max="12611" width="9.140625" style="5"/>
    <col min="12612" max="12612" width="13.140625" style="5" customWidth="1"/>
    <col min="12613" max="12613" width="11.5703125" style="5" customWidth="1"/>
    <col min="12614" max="12614" width="15.42578125" style="5" bestFit="1" customWidth="1"/>
    <col min="12615" max="12632" width="9.140625" style="5"/>
    <col min="12633" max="12635" width="11.140625" style="5" customWidth="1"/>
    <col min="12636" max="12636" width="14.85546875" style="5" bestFit="1" customWidth="1"/>
    <col min="12637" max="12642" width="14.85546875" style="5" customWidth="1"/>
    <col min="12643" max="12646" width="11.140625" style="5" customWidth="1"/>
    <col min="12647" max="12647" width="11" style="5" customWidth="1"/>
    <col min="12648" max="12648" width="13.28515625" style="5" customWidth="1"/>
    <col min="12649" max="12649" width="12.42578125" style="5" customWidth="1"/>
    <col min="12650" max="12658" width="14.85546875" style="5" customWidth="1"/>
    <col min="12659" max="12659" width="13.140625" style="5" customWidth="1"/>
    <col min="12660" max="12660" width="13.7109375" style="5" customWidth="1"/>
    <col min="12661" max="12663" width="13.28515625" style="5" customWidth="1"/>
    <col min="12664" max="12664" width="15.7109375" style="5" customWidth="1"/>
    <col min="12665" max="12665" width="9.140625" style="5"/>
    <col min="12666" max="12666" width="10.28515625" style="5" bestFit="1" customWidth="1"/>
    <col min="12667" max="12667" width="11.5703125" style="5" bestFit="1" customWidth="1"/>
    <col min="12668" max="12668" width="9.140625" style="5" customWidth="1"/>
    <col min="12669" max="12669" width="10.42578125" style="5" customWidth="1"/>
    <col min="12670" max="12671" width="15.85546875" style="5" customWidth="1"/>
    <col min="12672" max="12673" width="16.85546875" style="5" customWidth="1"/>
    <col min="12674" max="12674" width="14.42578125" style="5" customWidth="1"/>
    <col min="12675" max="12676" width="14.28515625" style="5" customWidth="1"/>
    <col min="12677" max="12677" width="14.7109375" style="5" customWidth="1"/>
    <col min="12678" max="12678" width="15.7109375" style="5" customWidth="1"/>
    <col min="12679" max="12679" width="9.140625" style="5"/>
    <col min="12680" max="12680" width="10.28515625" style="5" bestFit="1" customWidth="1"/>
    <col min="12681" max="12681" width="9.140625" style="5"/>
    <col min="12682" max="12682" width="11.5703125" style="5" bestFit="1" customWidth="1"/>
    <col min="12683" max="12683" width="9.28515625" style="5" bestFit="1" customWidth="1"/>
    <col min="12684" max="12684" width="9.140625" style="5"/>
    <col min="12685" max="12685" width="11.7109375" style="5" customWidth="1"/>
    <col min="12686" max="12686" width="10.28515625" style="5" bestFit="1" customWidth="1"/>
    <col min="12687" max="12687" width="9.140625" style="5"/>
    <col min="12688" max="12688" width="11" style="5" bestFit="1" customWidth="1"/>
    <col min="12689" max="12689" width="10" style="5" bestFit="1" customWidth="1"/>
    <col min="12690" max="12690" width="10.28515625" style="5" bestFit="1" customWidth="1"/>
    <col min="12691" max="12691" width="9.28515625" style="5" bestFit="1" customWidth="1"/>
    <col min="12692" max="12692" width="11.28515625" style="5" bestFit="1" customWidth="1"/>
    <col min="12693" max="12693" width="9.42578125" style="5" bestFit="1" customWidth="1"/>
    <col min="12694" max="12694" width="8.140625" style="5" bestFit="1" customWidth="1"/>
    <col min="12695" max="12695" width="10" style="5" bestFit="1" customWidth="1"/>
    <col min="12696" max="12696" width="10.28515625" style="5" bestFit="1" customWidth="1"/>
    <col min="12697" max="12697" width="8.7109375" style="5" customWidth="1"/>
    <col min="12698" max="12698" width="10.28515625" style="5" bestFit="1" customWidth="1"/>
    <col min="12699" max="12699" width="11.28515625" style="5" bestFit="1" customWidth="1"/>
    <col min="12700" max="12700" width="10.85546875" style="5" bestFit="1" customWidth="1"/>
    <col min="12701" max="12701" width="9.85546875" style="5" bestFit="1" customWidth="1"/>
    <col min="12702" max="12703" width="9.140625" style="5"/>
    <col min="12704" max="12704" width="9.85546875" style="5" bestFit="1" customWidth="1"/>
    <col min="12705" max="12708" width="9.140625" style="5"/>
    <col min="12709" max="12709" width="13.5703125" style="5" bestFit="1" customWidth="1"/>
    <col min="12710" max="12710" width="10.28515625" style="5" bestFit="1" customWidth="1"/>
    <col min="12711" max="12825" width="9.140625" style="5"/>
    <col min="12826" max="12826" width="3.7109375" style="5" customWidth="1"/>
    <col min="12827" max="12827" width="26.5703125" style="5" customWidth="1"/>
    <col min="12828" max="12829" width="13.7109375" style="5" customWidth="1"/>
    <col min="12830" max="12830" width="11.42578125" style="5" customWidth="1"/>
    <col min="12831" max="12831" width="13.42578125" style="5" customWidth="1"/>
    <col min="12832" max="12832" width="11.140625" style="5" customWidth="1"/>
    <col min="12833" max="12833" width="10.28515625" style="5" customWidth="1"/>
    <col min="12834" max="12834" width="9.42578125" style="5" customWidth="1"/>
    <col min="12835" max="12835" width="8.140625" style="5" customWidth="1"/>
    <col min="12836" max="12836" width="11.42578125" style="5" customWidth="1"/>
    <col min="12837" max="12837" width="7.7109375" style="5" customWidth="1"/>
    <col min="12838" max="12838" width="9" style="5" customWidth="1"/>
    <col min="12839" max="12840" width="9.140625" style="5" customWidth="1"/>
    <col min="12841" max="12845" width="9.140625" style="5"/>
    <col min="12846" max="12846" width="9" style="5" customWidth="1"/>
    <col min="12847" max="12847" width="9.140625" style="5"/>
    <col min="12848" max="12848" width="15.140625" style="5" customWidth="1"/>
    <col min="12849" max="12857" width="9.140625" style="5"/>
    <col min="12858" max="12858" width="10.5703125" style="5" customWidth="1"/>
    <col min="12859" max="12863" width="9.140625" style="5"/>
    <col min="12864" max="12864" width="9" style="5" bestFit="1" customWidth="1"/>
    <col min="12865" max="12865" width="12.140625" style="5" customWidth="1"/>
    <col min="12866" max="12866" width="13.28515625" style="5" customWidth="1"/>
    <col min="12867" max="12867" width="9.140625" style="5"/>
    <col min="12868" max="12868" width="13.140625" style="5" customWidth="1"/>
    <col min="12869" max="12869" width="11.5703125" style="5" customWidth="1"/>
    <col min="12870" max="12870" width="15.42578125" style="5" bestFit="1" customWidth="1"/>
    <col min="12871" max="12888" width="9.140625" style="5"/>
    <col min="12889" max="12891" width="11.140625" style="5" customWidth="1"/>
    <col min="12892" max="12892" width="14.85546875" style="5" bestFit="1" customWidth="1"/>
    <col min="12893" max="12898" width="14.85546875" style="5" customWidth="1"/>
    <col min="12899" max="12902" width="11.140625" style="5" customWidth="1"/>
    <col min="12903" max="12903" width="11" style="5" customWidth="1"/>
    <col min="12904" max="12904" width="13.28515625" style="5" customWidth="1"/>
    <col min="12905" max="12905" width="12.42578125" style="5" customWidth="1"/>
    <col min="12906" max="12914" width="14.85546875" style="5" customWidth="1"/>
    <col min="12915" max="12915" width="13.140625" style="5" customWidth="1"/>
    <col min="12916" max="12916" width="13.7109375" style="5" customWidth="1"/>
    <col min="12917" max="12919" width="13.28515625" style="5" customWidth="1"/>
    <col min="12920" max="12920" width="15.7109375" style="5" customWidth="1"/>
    <col min="12921" max="12921" width="9.140625" style="5"/>
    <col min="12922" max="12922" width="10.28515625" style="5" bestFit="1" customWidth="1"/>
    <col min="12923" max="12923" width="11.5703125" style="5" bestFit="1" customWidth="1"/>
    <col min="12924" max="12924" width="9.140625" style="5" customWidth="1"/>
    <col min="12925" max="12925" width="10.42578125" style="5" customWidth="1"/>
    <col min="12926" max="12927" width="15.85546875" style="5" customWidth="1"/>
    <col min="12928" max="12929" width="16.85546875" style="5" customWidth="1"/>
    <col min="12930" max="12930" width="14.42578125" style="5" customWidth="1"/>
    <col min="12931" max="12932" width="14.28515625" style="5" customWidth="1"/>
    <col min="12933" max="12933" width="14.7109375" style="5" customWidth="1"/>
    <col min="12934" max="12934" width="15.7109375" style="5" customWidth="1"/>
    <col min="12935" max="12935" width="9.140625" style="5"/>
    <col min="12936" max="12936" width="10.28515625" style="5" bestFit="1" customWidth="1"/>
    <col min="12937" max="12937" width="9.140625" style="5"/>
    <col min="12938" max="12938" width="11.5703125" style="5" bestFit="1" customWidth="1"/>
    <col min="12939" max="12939" width="9.28515625" style="5" bestFit="1" customWidth="1"/>
    <col min="12940" max="12940" width="9.140625" style="5"/>
    <col min="12941" max="12941" width="11.7109375" style="5" customWidth="1"/>
    <col min="12942" max="12942" width="10.28515625" style="5" bestFit="1" customWidth="1"/>
    <col min="12943" max="12943" width="9.140625" style="5"/>
    <col min="12944" max="12944" width="11" style="5" bestFit="1" customWidth="1"/>
    <col min="12945" max="12945" width="10" style="5" bestFit="1" customWidth="1"/>
    <col min="12946" max="12946" width="10.28515625" style="5" bestFit="1" customWidth="1"/>
    <col min="12947" max="12947" width="9.28515625" style="5" bestFit="1" customWidth="1"/>
    <col min="12948" max="12948" width="11.28515625" style="5" bestFit="1" customWidth="1"/>
    <col min="12949" max="12949" width="9.42578125" style="5" bestFit="1" customWidth="1"/>
    <col min="12950" max="12950" width="8.140625" style="5" bestFit="1" customWidth="1"/>
    <col min="12951" max="12951" width="10" style="5" bestFit="1" customWidth="1"/>
    <col min="12952" max="12952" width="10.28515625" style="5" bestFit="1" customWidth="1"/>
    <col min="12953" max="12953" width="8.7109375" style="5" customWidth="1"/>
    <col min="12954" max="12954" width="10.28515625" style="5" bestFit="1" customWidth="1"/>
    <col min="12955" max="12955" width="11.28515625" style="5" bestFit="1" customWidth="1"/>
    <col min="12956" max="12956" width="10.85546875" style="5" bestFit="1" customWidth="1"/>
    <col min="12957" max="12957" width="9.85546875" style="5" bestFit="1" customWidth="1"/>
    <col min="12958" max="12959" width="9.140625" style="5"/>
    <col min="12960" max="12960" width="9.85546875" style="5" bestFit="1" customWidth="1"/>
    <col min="12961" max="12964" width="9.140625" style="5"/>
    <col min="12965" max="12965" width="13.5703125" style="5" bestFit="1" customWidth="1"/>
    <col min="12966" max="12966" width="10.28515625" style="5" bestFit="1" customWidth="1"/>
    <col min="12967" max="13081" width="9.140625" style="5"/>
    <col min="13082" max="13082" width="3.7109375" style="5" customWidth="1"/>
    <col min="13083" max="13083" width="26.5703125" style="5" customWidth="1"/>
    <col min="13084" max="13085" width="13.7109375" style="5" customWidth="1"/>
    <col min="13086" max="13086" width="11.42578125" style="5" customWidth="1"/>
    <col min="13087" max="13087" width="13.42578125" style="5" customWidth="1"/>
    <col min="13088" max="13088" width="11.140625" style="5" customWidth="1"/>
    <col min="13089" max="13089" width="10.28515625" style="5" customWidth="1"/>
    <col min="13090" max="13090" width="9.42578125" style="5" customWidth="1"/>
    <col min="13091" max="13091" width="8.140625" style="5" customWidth="1"/>
    <col min="13092" max="13092" width="11.42578125" style="5" customWidth="1"/>
    <col min="13093" max="13093" width="7.7109375" style="5" customWidth="1"/>
    <col min="13094" max="13094" width="9" style="5" customWidth="1"/>
    <col min="13095" max="13096" width="9.140625" style="5" customWidth="1"/>
    <col min="13097" max="13101" width="9.140625" style="5"/>
    <col min="13102" max="13102" width="9" style="5" customWidth="1"/>
    <col min="13103" max="13103" width="9.140625" style="5"/>
    <col min="13104" max="13104" width="15.140625" style="5" customWidth="1"/>
    <col min="13105" max="13113" width="9.140625" style="5"/>
    <col min="13114" max="13114" width="10.5703125" style="5" customWidth="1"/>
    <col min="13115" max="13119" width="9.140625" style="5"/>
    <col min="13120" max="13120" width="9" style="5" bestFit="1" customWidth="1"/>
    <col min="13121" max="13121" width="12.140625" style="5" customWidth="1"/>
    <col min="13122" max="13122" width="13.28515625" style="5" customWidth="1"/>
    <col min="13123" max="13123" width="9.140625" style="5"/>
    <col min="13124" max="13124" width="13.140625" style="5" customWidth="1"/>
    <col min="13125" max="13125" width="11.5703125" style="5" customWidth="1"/>
    <col min="13126" max="13126" width="15.42578125" style="5" bestFit="1" customWidth="1"/>
    <col min="13127" max="13144" width="9.140625" style="5"/>
    <col min="13145" max="13147" width="11.140625" style="5" customWidth="1"/>
    <col min="13148" max="13148" width="14.85546875" style="5" bestFit="1" customWidth="1"/>
    <col min="13149" max="13154" width="14.85546875" style="5" customWidth="1"/>
    <col min="13155" max="13158" width="11.140625" style="5" customWidth="1"/>
    <col min="13159" max="13159" width="11" style="5" customWidth="1"/>
    <col min="13160" max="13160" width="13.28515625" style="5" customWidth="1"/>
    <col min="13161" max="13161" width="12.42578125" style="5" customWidth="1"/>
    <col min="13162" max="13170" width="14.85546875" style="5" customWidth="1"/>
    <col min="13171" max="13171" width="13.140625" style="5" customWidth="1"/>
    <col min="13172" max="13172" width="13.7109375" style="5" customWidth="1"/>
    <col min="13173" max="13175" width="13.28515625" style="5" customWidth="1"/>
    <col min="13176" max="13176" width="15.7109375" style="5" customWidth="1"/>
    <col min="13177" max="13177" width="9.140625" style="5"/>
    <col min="13178" max="13178" width="10.28515625" style="5" bestFit="1" customWidth="1"/>
    <col min="13179" max="13179" width="11.5703125" style="5" bestFit="1" customWidth="1"/>
    <col min="13180" max="13180" width="9.140625" style="5" customWidth="1"/>
    <col min="13181" max="13181" width="10.42578125" style="5" customWidth="1"/>
    <col min="13182" max="13183" width="15.85546875" style="5" customWidth="1"/>
    <col min="13184" max="13185" width="16.85546875" style="5" customWidth="1"/>
    <col min="13186" max="13186" width="14.42578125" style="5" customWidth="1"/>
    <col min="13187" max="13188" width="14.28515625" style="5" customWidth="1"/>
    <col min="13189" max="13189" width="14.7109375" style="5" customWidth="1"/>
    <col min="13190" max="13190" width="15.7109375" style="5" customWidth="1"/>
    <col min="13191" max="13191" width="9.140625" style="5"/>
    <col min="13192" max="13192" width="10.28515625" style="5" bestFit="1" customWidth="1"/>
    <col min="13193" max="13193" width="9.140625" style="5"/>
    <col min="13194" max="13194" width="11.5703125" style="5" bestFit="1" customWidth="1"/>
    <col min="13195" max="13195" width="9.28515625" style="5" bestFit="1" customWidth="1"/>
    <col min="13196" max="13196" width="9.140625" style="5"/>
    <col min="13197" max="13197" width="11.7109375" style="5" customWidth="1"/>
    <col min="13198" max="13198" width="10.28515625" style="5" bestFit="1" customWidth="1"/>
    <col min="13199" max="13199" width="9.140625" style="5"/>
    <col min="13200" max="13200" width="11" style="5" bestFit="1" customWidth="1"/>
    <col min="13201" max="13201" width="10" style="5" bestFit="1" customWidth="1"/>
    <col min="13202" max="13202" width="10.28515625" style="5" bestFit="1" customWidth="1"/>
    <col min="13203" max="13203" width="9.28515625" style="5" bestFit="1" customWidth="1"/>
    <col min="13204" max="13204" width="11.28515625" style="5" bestFit="1" customWidth="1"/>
    <col min="13205" max="13205" width="9.42578125" style="5" bestFit="1" customWidth="1"/>
    <col min="13206" max="13206" width="8.140625" style="5" bestFit="1" customWidth="1"/>
    <col min="13207" max="13207" width="10" style="5" bestFit="1" customWidth="1"/>
    <col min="13208" max="13208" width="10.28515625" style="5" bestFit="1" customWidth="1"/>
    <col min="13209" max="13209" width="8.7109375" style="5" customWidth="1"/>
    <col min="13210" max="13210" width="10.28515625" style="5" bestFit="1" customWidth="1"/>
    <col min="13211" max="13211" width="11.28515625" style="5" bestFit="1" customWidth="1"/>
    <col min="13212" max="13212" width="10.85546875" style="5" bestFit="1" customWidth="1"/>
    <col min="13213" max="13213" width="9.85546875" style="5" bestFit="1" customWidth="1"/>
    <col min="13214" max="13215" width="9.140625" style="5"/>
    <col min="13216" max="13216" width="9.85546875" style="5" bestFit="1" customWidth="1"/>
    <col min="13217" max="13220" width="9.140625" style="5"/>
    <col min="13221" max="13221" width="13.5703125" style="5" bestFit="1" customWidth="1"/>
    <col min="13222" max="13222" width="10.28515625" style="5" bestFit="1" customWidth="1"/>
    <col min="13223" max="13337" width="9.140625" style="5"/>
    <col min="13338" max="13338" width="3.7109375" style="5" customWidth="1"/>
    <col min="13339" max="13339" width="26.5703125" style="5" customWidth="1"/>
    <col min="13340" max="13341" width="13.7109375" style="5" customWidth="1"/>
    <col min="13342" max="13342" width="11.42578125" style="5" customWidth="1"/>
    <col min="13343" max="13343" width="13.42578125" style="5" customWidth="1"/>
    <col min="13344" max="13344" width="11.140625" style="5" customWidth="1"/>
    <col min="13345" max="13345" width="10.28515625" style="5" customWidth="1"/>
    <col min="13346" max="13346" width="9.42578125" style="5" customWidth="1"/>
    <col min="13347" max="13347" width="8.140625" style="5" customWidth="1"/>
    <col min="13348" max="13348" width="11.42578125" style="5" customWidth="1"/>
    <col min="13349" max="13349" width="7.7109375" style="5" customWidth="1"/>
    <col min="13350" max="13350" width="9" style="5" customWidth="1"/>
    <col min="13351" max="13352" width="9.140625" style="5" customWidth="1"/>
    <col min="13353" max="13357" width="9.140625" style="5"/>
    <col min="13358" max="13358" width="9" style="5" customWidth="1"/>
    <col min="13359" max="13359" width="9.140625" style="5"/>
    <col min="13360" max="13360" width="15.140625" style="5" customWidth="1"/>
    <col min="13361" max="13369" width="9.140625" style="5"/>
    <col min="13370" max="13370" width="10.5703125" style="5" customWidth="1"/>
    <col min="13371" max="13375" width="9.140625" style="5"/>
    <col min="13376" max="13376" width="9" style="5" bestFit="1" customWidth="1"/>
    <col min="13377" max="13377" width="12.140625" style="5" customWidth="1"/>
    <col min="13378" max="13378" width="13.28515625" style="5" customWidth="1"/>
    <col min="13379" max="13379" width="9.140625" style="5"/>
    <col min="13380" max="13380" width="13.140625" style="5" customWidth="1"/>
    <col min="13381" max="13381" width="11.5703125" style="5" customWidth="1"/>
    <col min="13382" max="13382" width="15.42578125" style="5" bestFit="1" customWidth="1"/>
    <col min="13383" max="13400" width="9.140625" style="5"/>
    <col min="13401" max="13403" width="11.140625" style="5" customWidth="1"/>
    <col min="13404" max="13404" width="14.85546875" style="5" bestFit="1" customWidth="1"/>
    <col min="13405" max="13410" width="14.85546875" style="5" customWidth="1"/>
    <col min="13411" max="13414" width="11.140625" style="5" customWidth="1"/>
    <col min="13415" max="13415" width="11" style="5" customWidth="1"/>
    <col min="13416" max="13416" width="13.28515625" style="5" customWidth="1"/>
    <col min="13417" max="13417" width="12.42578125" style="5" customWidth="1"/>
    <col min="13418" max="13426" width="14.85546875" style="5" customWidth="1"/>
    <col min="13427" max="13427" width="13.140625" style="5" customWidth="1"/>
    <col min="13428" max="13428" width="13.7109375" style="5" customWidth="1"/>
    <col min="13429" max="13431" width="13.28515625" style="5" customWidth="1"/>
    <col min="13432" max="13432" width="15.7109375" style="5" customWidth="1"/>
    <col min="13433" max="13433" width="9.140625" style="5"/>
    <col min="13434" max="13434" width="10.28515625" style="5" bestFit="1" customWidth="1"/>
    <col min="13435" max="13435" width="11.5703125" style="5" bestFit="1" customWidth="1"/>
    <col min="13436" max="13436" width="9.140625" style="5" customWidth="1"/>
    <col min="13437" max="13437" width="10.42578125" style="5" customWidth="1"/>
    <col min="13438" max="13439" width="15.85546875" style="5" customWidth="1"/>
    <col min="13440" max="13441" width="16.85546875" style="5" customWidth="1"/>
    <col min="13442" max="13442" width="14.42578125" style="5" customWidth="1"/>
    <col min="13443" max="13444" width="14.28515625" style="5" customWidth="1"/>
    <col min="13445" max="13445" width="14.7109375" style="5" customWidth="1"/>
    <col min="13446" max="13446" width="15.7109375" style="5" customWidth="1"/>
    <col min="13447" max="13447" width="9.140625" style="5"/>
    <col min="13448" max="13448" width="10.28515625" style="5" bestFit="1" customWidth="1"/>
    <col min="13449" max="13449" width="9.140625" style="5"/>
    <col min="13450" max="13450" width="11.5703125" style="5" bestFit="1" customWidth="1"/>
    <col min="13451" max="13451" width="9.28515625" style="5" bestFit="1" customWidth="1"/>
    <col min="13452" max="13452" width="9.140625" style="5"/>
    <col min="13453" max="13453" width="11.7109375" style="5" customWidth="1"/>
    <col min="13454" max="13454" width="10.28515625" style="5" bestFit="1" customWidth="1"/>
    <col min="13455" max="13455" width="9.140625" style="5"/>
    <col min="13456" max="13456" width="11" style="5" bestFit="1" customWidth="1"/>
    <col min="13457" max="13457" width="10" style="5" bestFit="1" customWidth="1"/>
    <col min="13458" max="13458" width="10.28515625" style="5" bestFit="1" customWidth="1"/>
    <col min="13459" max="13459" width="9.28515625" style="5" bestFit="1" customWidth="1"/>
    <col min="13460" max="13460" width="11.28515625" style="5" bestFit="1" customWidth="1"/>
    <col min="13461" max="13461" width="9.42578125" style="5" bestFit="1" customWidth="1"/>
    <col min="13462" max="13462" width="8.140625" style="5" bestFit="1" customWidth="1"/>
    <col min="13463" max="13463" width="10" style="5" bestFit="1" customWidth="1"/>
    <col min="13464" max="13464" width="10.28515625" style="5" bestFit="1" customWidth="1"/>
    <col min="13465" max="13465" width="8.7109375" style="5" customWidth="1"/>
    <col min="13466" max="13466" width="10.28515625" style="5" bestFit="1" customWidth="1"/>
    <col min="13467" max="13467" width="11.28515625" style="5" bestFit="1" customWidth="1"/>
    <col min="13468" max="13468" width="10.85546875" style="5" bestFit="1" customWidth="1"/>
    <col min="13469" max="13469" width="9.85546875" style="5" bestFit="1" customWidth="1"/>
    <col min="13470" max="13471" width="9.140625" style="5"/>
    <col min="13472" max="13472" width="9.85546875" style="5" bestFit="1" customWidth="1"/>
    <col min="13473" max="13476" width="9.140625" style="5"/>
    <col min="13477" max="13477" width="13.5703125" style="5" bestFit="1" customWidth="1"/>
    <col min="13478" max="13478" width="10.28515625" style="5" bestFit="1" customWidth="1"/>
    <col min="13479" max="13593" width="9.140625" style="5"/>
    <col min="13594" max="13594" width="3.7109375" style="5" customWidth="1"/>
    <col min="13595" max="13595" width="26.5703125" style="5" customWidth="1"/>
    <col min="13596" max="13597" width="13.7109375" style="5" customWidth="1"/>
    <col min="13598" max="13598" width="11.42578125" style="5" customWidth="1"/>
    <col min="13599" max="13599" width="13.42578125" style="5" customWidth="1"/>
    <col min="13600" max="13600" width="11.140625" style="5" customWidth="1"/>
    <col min="13601" max="13601" width="10.28515625" style="5" customWidth="1"/>
    <col min="13602" max="13602" width="9.42578125" style="5" customWidth="1"/>
    <col min="13603" max="13603" width="8.140625" style="5" customWidth="1"/>
    <col min="13604" max="13604" width="11.42578125" style="5" customWidth="1"/>
    <col min="13605" max="13605" width="7.7109375" style="5" customWidth="1"/>
    <col min="13606" max="13606" width="9" style="5" customWidth="1"/>
    <col min="13607" max="13608" width="9.140625" style="5" customWidth="1"/>
    <col min="13609" max="13613" width="9.140625" style="5"/>
    <col min="13614" max="13614" width="9" style="5" customWidth="1"/>
    <col min="13615" max="13615" width="9.140625" style="5"/>
    <col min="13616" max="13616" width="15.140625" style="5" customWidth="1"/>
    <col min="13617" max="13625" width="9.140625" style="5"/>
    <col min="13626" max="13626" width="10.5703125" style="5" customWidth="1"/>
    <col min="13627" max="13631" width="9.140625" style="5"/>
    <col min="13632" max="13632" width="9" style="5" bestFit="1" customWidth="1"/>
    <col min="13633" max="13633" width="12.140625" style="5" customWidth="1"/>
    <col min="13634" max="13634" width="13.28515625" style="5" customWidth="1"/>
    <col min="13635" max="13635" width="9.140625" style="5"/>
    <col min="13636" max="13636" width="13.140625" style="5" customWidth="1"/>
    <col min="13637" max="13637" width="11.5703125" style="5" customWidth="1"/>
    <col min="13638" max="13638" width="15.42578125" style="5" bestFit="1" customWidth="1"/>
    <col min="13639" max="13656" width="9.140625" style="5"/>
    <col min="13657" max="13659" width="11.140625" style="5" customWidth="1"/>
    <col min="13660" max="13660" width="14.85546875" style="5" bestFit="1" customWidth="1"/>
    <col min="13661" max="13666" width="14.85546875" style="5" customWidth="1"/>
    <col min="13667" max="13670" width="11.140625" style="5" customWidth="1"/>
    <col min="13671" max="13671" width="11" style="5" customWidth="1"/>
    <col min="13672" max="13672" width="13.28515625" style="5" customWidth="1"/>
    <col min="13673" max="13673" width="12.42578125" style="5" customWidth="1"/>
    <col min="13674" max="13682" width="14.85546875" style="5" customWidth="1"/>
    <col min="13683" max="13683" width="13.140625" style="5" customWidth="1"/>
    <col min="13684" max="13684" width="13.7109375" style="5" customWidth="1"/>
    <col min="13685" max="13687" width="13.28515625" style="5" customWidth="1"/>
    <col min="13688" max="13688" width="15.7109375" style="5" customWidth="1"/>
    <col min="13689" max="13689" width="9.140625" style="5"/>
    <col min="13690" max="13690" width="10.28515625" style="5" bestFit="1" customWidth="1"/>
    <col min="13691" max="13691" width="11.5703125" style="5" bestFit="1" customWidth="1"/>
    <col min="13692" max="13692" width="9.140625" style="5" customWidth="1"/>
    <col min="13693" max="13693" width="10.42578125" style="5" customWidth="1"/>
    <col min="13694" max="13695" width="15.85546875" style="5" customWidth="1"/>
    <col min="13696" max="13697" width="16.85546875" style="5" customWidth="1"/>
    <col min="13698" max="13698" width="14.42578125" style="5" customWidth="1"/>
    <col min="13699" max="13700" width="14.28515625" style="5" customWidth="1"/>
    <col min="13701" max="13701" width="14.7109375" style="5" customWidth="1"/>
    <col min="13702" max="13702" width="15.7109375" style="5" customWidth="1"/>
    <col min="13703" max="13703" width="9.140625" style="5"/>
    <col min="13704" max="13704" width="10.28515625" style="5" bestFit="1" customWidth="1"/>
    <col min="13705" max="13705" width="9.140625" style="5"/>
    <col min="13706" max="13706" width="11.5703125" style="5" bestFit="1" customWidth="1"/>
    <col min="13707" max="13707" width="9.28515625" style="5" bestFit="1" customWidth="1"/>
    <col min="13708" max="13708" width="9.140625" style="5"/>
    <col min="13709" max="13709" width="11.7109375" style="5" customWidth="1"/>
    <col min="13710" max="13710" width="10.28515625" style="5" bestFit="1" customWidth="1"/>
    <col min="13711" max="13711" width="9.140625" style="5"/>
    <col min="13712" max="13712" width="11" style="5" bestFit="1" customWidth="1"/>
    <col min="13713" max="13713" width="10" style="5" bestFit="1" customWidth="1"/>
    <col min="13714" max="13714" width="10.28515625" style="5" bestFit="1" customWidth="1"/>
    <col min="13715" max="13715" width="9.28515625" style="5" bestFit="1" customWidth="1"/>
    <col min="13716" max="13716" width="11.28515625" style="5" bestFit="1" customWidth="1"/>
    <col min="13717" max="13717" width="9.42578125" style="5" bestFit="1" customWidth="1"/>
    <col min="13718" max="13718" width="8.140625" style="5" bestFit="1" customWidth="1"/>
    <col min="13719" max="13719" width="10" style="5" bestFit="1" customWidth="1"/>
    <col min="13720" max="13720" width="10.28515625" style="5" bestFit="1" customWidth="1"/>
    <col min="13721" max="13721" width="8.7109375" style="5" customWidth="1"/>
    <col min="13722" max="13722" width="10.28515625" style="5" bestFit="1" customWidth="1"/>
    <col min="13723" max="13723" width="11.28515625" style="5" bestFit="1" customWidth="1"/>
    <col min="13724" max="13724" width="10.85546875" style="5" bestFit="1" customWidth="1"/>
    <col min="13725" max="13725" width="9.85546875" style="5" bestFit="1" customWidth="1"/>
    <col min="13726" max="13727" width="9.140625" style="5"/>
    <col min="13728" max="13728" width="9.85546875" style="5" bestFit="1" customWidth="1"/>
    <col min="13729" max="13732" width="9.140625" style="5"/>
    <col min="13733" max="13733" width="13.5703125" style="5" bestFit="1" customWidth="1"/>
    <col min="13734" max="13734" width="10.28515625" style="5" bestFit="1" customWidth="1"/>
    <col min="13735" max="13849" width="9.140625" style="5"/>
    <col min="13850" max="13850" width="3.7109375" style="5" customWidth="1"/>
    <col min="13851" max="13851" width="26.5703125" style="5" customWidth="1"/>
    <col min="13852" max="13853" width="13.7109375" style="5" customWidth="1"/>
    <col min="13854" max="13854" width="11.42578125" style="5" customWidth="1"/>
    <col min="13855" max="13855" width="13.42578125" style="5" customWidth="1"/>
    <col min="13856" max="13856" width="11.140625" style="5" customWidth="1"/>
    <col min="13857" max="13857" width="10.28515625" style="5" customWidth="1"/>
    <col min="13858" max="13858" width="9.42578125" style="5" customWidth="1"/>
    <col min="13859" max="13859" width="8.140625" style="5" customWidth="1"/>
    <col min="13860" max="13860" width="11.42578125" style="5" customWidth="1"/>
    <col min="13861" max="13861" width="7.7109375" style="5" customWidth="1"/>
    <col min="13862" max="13862" width="9" style="5" customWidth="1"/>
    <col min="13863" max="13864" width="9.140625" style="5" customWidth="1"/>
    <col min="13865" max="13869" width="9.140625" style="5"/>
    <col min="13870" max="13870" width="9" style="5" customWidth="1"/>
    <col min="13871" max="13871" width="9.140625" style="5"/>
    <col min="13872" max="13872" width="15.140625" style="5" customWidth="1"/>
    <col min="13873" max="13881" width="9.140625" style="5"/>
    <col min="13882" max="13882" width="10.5703125" style="5" customWidth="1"/>
    <col min="13883" max="13887" width="9.140625" style="5"/>
    <col min="13888" max="13888" width="9" style="5" bestFit="1" customWidth="1"/>
    <col min="13889" max="13889" width="12.140625" style="5" customWidth="1"/>
    <col min="13890" max="13890" width="13.28515625" style="5" customWidth="1"/>
    <col min="13891" max="13891" width="9.140625" style="5"/>
    <col min="13892" max="13892" width="13.140625" style="5" customWidth="1"/>
    <col min="13893" max="13893" width="11.5703125" style="5" customWidth="1"/>
    <col min="13894" max="13894" width="15.42578125" style="5" bestFit="1" customWidth="1"/>
    <col min="13895" max="13912" width="9.140625" style="5"/>
    <col min="13913" max="13915" width="11.140625" style="5" customWidth="1"/>
    <col min="13916" max="13916" width="14.85546875" style="5" bestFit="1" customWidth="1"/>
    <col min="13917" max="13922" width="14.85546875" style="5" customWidth="1"/>
    <col min="13923" max="13926" width="11.140625" style="5" customWidth="1"/>
    <col min="13927" max="13927" width="11" style="5" customWidth="1"/>
    <col min="13928" max="13928" width="13.28515625" style="5" customWidth="1"/>
    <col min="13929" max="13929" width="12.42578125" style="5" customWidth="1"/>
    <col min="13930" max="13938" width="14.85546875" style="5" customWidth="1"/>
    <col min="13939" max="13939" width="13.140625" style="5" customWidth="1"/>
    <col min="13940" max="13940" width="13.7109375" style="5" customWidth="1"/>
    <col min="13941" max="13943" width="13.28515625" style="5" customWidth="1"/>
    <col min="13944" max="13944" width="15.7109375" style="5" customWidth="1"/>
    <col min="13945" max="13945" width="9.140625" style="5"/>
    <col min="13946" max="13946" width="10.28515625" style="5" bestFit="1" customWidth="1"/>
    <col min="13947" max="13947" width="11.5703125" style="5" bestFit="1" customWidth="1"/>
    <col min="13948" max="13948" width="9.140625" style="5" customWidth="1"/>
    <col min="13949" max="13949" width="10.42578125" style="5" customWidth="1"/>
    <col min="13950" max="13951" width="15.85546875" style="5" customWidth="1"/>
    <col min="13952" max="13953" width="16.85546875" style="5" customWidth="1"/>
    <col min="13954" max="13954" width="14.42578125" style="5" customWidth="1"/>
    <col min="13955" max="13956" width="14.28515625" style="5" customWidth="1"/>
    <col min="13957" max="13957" width="14.7109375" style="5" customWidth="1"/>
    <col min="13958" max="13958" width="15.7109375" style="5" customWidth="1"/>
    <col min="13959" max="13959" width="9.140625" style="5"/>
    <col min="13960" max="13960" width="10.28515625" style="5" bestFit="1" customWidth="1"/>
    <col min="13961" max="13961" width="9.140625" style="5"/>
    <col min="13962" max="13962" width="11.5703125" style="5" bestFit="1" customWidth="1"/>
    <col min="13963" max="13963" width="9.28515625" style="5" bestFit="1" customWidth="1"/>
    <col min="13964" max="13964" width="9.140625" style="5"/>
    <col min="13965" max="13965" width="11.7109375" style="5" customWidth="1"/>
    <col min="13966" max="13966" width="10.28515625" style="5" bestFit="1" customWidth="1"/>
    <col min="13967" max="13967" width="9.140625" style="5"/>
    <col min="13968" max="13968" width="11" style="5" bestFit="1" customWidth="1"/>
    <col min="13969" max="13969" width="10" style="5" bestFit="1" customWidth="1"/>
    <col min="13970" max="13970" width="10.28515625" style="5" bestFit="1" customWidth="1"/>
    <col min="13971" max="13971" width="9.28515625" style="5" bestFit="1" customWidth="1"/>
    <col min="13972" max="13972" width="11.28515625" style="5" bestFit="1" customWidth="1"/>
    <col min="13973" max="13973" width="9.42578125" style="5" bestFit="1" customWidth="1"/>
    <col min="13974" max="13974" width="8.140625" style="5" bestFit="1" customWidth="1"/>
    <col min="13975" max="13975" width="10" style="5" bestFit="1" customWidth="1"/>
    <col min="13976" max="13976" width="10.28515625" style="5" bestFit="1" customWidth="1"/>
    <col min="13977" max="13977" width="8.7109375" style="5" customWidth="1"/>
    <col min="13978" max="13978" width="10.28515625" style="5" bestFit="1" customWidth="1"/>
    <col min="13979" max="13979" width="11.28515625" style="5" bestFit="1" customWidth="1"/>
    <col min="13980" max="13980" width="10.85546875" style="5" bestFit="1" customWidth="1"/>
    <col min="13981" max="13981" width="9.85546875" style="5" bestFit="1" customWidth="1"/>
    <col min="13982" max="13983" width="9.140625" style="5"/>
    <col min="13984" max="13984" width="9.85546875" style="5" bestFit="1" customWidth="1"/>
    <col min="13985" max="13988" width="9.140625" style="5"/>
    <col min="13989" max="13989" width="13.5703125" style="5" bestFit="1" customWidth="1"/>
    <col min="13990" max="13990" width="10.28515625" style="5" bestFit="1" customWidth="1"/>
    <col min="13991" max="14105" width="9.140625" style="5"/>
    <col min="14106" max="14106" width="3.7109375" style="5" customWidth="1"/>
    <col min="14107" max="14107" width="26.5703125" style="5" customWidth="1"/>
    <col min="14108" max="14109" width="13.7109375" style="5" customWidth="1"/>
    <col min="14110" max="14110" width="11.42578125" style="5" customWidth="1"/>
    <col min="14111" max="14111" width="13.42578125" style="5" customWidth="1"/>
    <col min="14112" max="14112" width="11.140625" style="5" customWidth="1"/>
    <col min="14113" max="14113" width="10.28515625" style="5" customWidth="1"/>
    <col min="14114" max="14114" width="9.42578125" style="5" customWidth="1"/>
    <col min="14115" max="14115" width="8.140625" style="5" customWidth="1"/>
    <col min="14116" max="14116" width="11.42578125" style="5" customWidth="1"/>
    <col min="14117" max="14117" width="7.7109375" style="5" customWidth="1"/>
    <col min="14118" max="14118" width="9" style="5" customWidth="1"/>
    <col min="14119" max="14120" width="9.140625" style="5" customWidth="1"/>
    <col min="14121" max="14125" width="9.140625" style="5"/>
    <col min="14126" max="14126" width="9" style="5" customWidth="1"/>
    <col min="14127" max="14127" width="9.140625" style="5"/>
    <col min="14128" max="14128" width="15.140625" style="5" customWidth="1"/>
    <col min="14129" max="14137" width="9.140625" style="5"/>
    <col min="14138" max="14138" width="10.5703125" style="5" customWidth="1"/>
    <col min="14139" max="14143" width="9.140625" style="5"/>
    <col min="14144" max="14144" width="9" style="5" bestFit="1" customWidth="1"/>
    <col min="14145" max="14145" width="12.140625" style="5" customWidth="1"/>
    <col min="14146" max="14146" width="13.28515625" style="5" customWidth="1"/>
    <col min="14147" max="14147" width="9.140625" style="5"/>
    <col min="14148" max="14148" width="13.140625" style="5" customWidth="1"/>
    <col min="14149" max="14149" width="11.5703125" style="5" customWidth="1"/>
    <col min="14150" max="14150" width="15.42578125" style="5" bestFit="1" customWidth="1"/>
    <col min="14151" max="14168" width="9.140625" style="5"/>
    <col min="14169" max="14171" width="11.140625" style="5" customWidth="1"/>
    <col min="14172" max="14172" width="14.85546875" style="5" bestFit="1" customWidth="1"/>
    <col min="14173" max="14178" width="14.85546875" style="5" customWidth="1"/>
    <col min="14179" max="14182" width="11.140625" style="5" customWidth="1"/>
    <col min="14183" max="14183" width="11" style="5" customWidth="1"/>
    <col min="14184" max="14184" width="13.28515625" style="5" customWidth="1"/>
    <col min="14185" max="14185" width="12.42578125" style="5" customWidth="1"/>
    <col min="14186" max="14194" width="14.85546875" style="5" customWidth="1"/>
    <col min="14195" max="14195" width="13.140625" style="5" customWidth="1"/>
    <col min="14196" max="14196" width="13.7109375" style="5" customWidth="1"/>
    <col min="14197" max="14199" width="13.28515625" style="5" customWidth="1"/>
    <col min="14200" max="14200" width="15.7109375" style="5" customWidth="1"/>
    <col min="14201" max="14201" width="9.140625" style="5"/>
    <col min="14202" max="14202" width="10.28515625" style="5" bestFit="1" customWidth="1"/>
    <col min="14203" max="14203" width="11.5703125" style="5" bestFit="1" customWidth="1"/>
    <col min="14204" max="14204" width="9.140625" style="5" customWidth="1"/>
    <col min="14205" max="14205" width="10.42578125" style="5" customWidth="1"/>
    <col min="14206" max="14207" width="15.85546875" style="5" customWidth="1"/>
    <col min="14208" max="14209" width="16.85546875" style="5" customWidth="1"/>
    <col min="14210" max="14210" width="14.42578125" style="5" customWidth="1"/>
    <col min="14211" max="14212" width="14.28515625" style="5" customWidth="1"/>
    <col min="14213" max="14213" width="14.7109375" style="5" customWidth="1"/>
    <col min="14214" max="14214" width="15.7109375" style="5" customWidth="1"/>
    <col min="14215" max="14215" width="9.140625" style="5"/>
    <col min="14216" max="14216" width="10.28515625" style="5" bestFit="1" customWidth="1"/>
    <col min="14217" max="14217" width="9.140625" style="5"/>
    <col min="14218" max="14218" width="11.5703125" style="5" bestFit="1" customWidth="1"/>
    <col min="14219" max="14219" width="9.28515625" style="5" bestFit="1" customWidth="1"/>
    <col min="14220" max="14220" width="9.140625" style="5"/>
    <col min="14221" max="14221" width="11.7109375" style="5" customWidth="1"/>
    <col min="14222" max="14222" width="10.28515625" style="5" bestFit="1" customWidth="1"/>
    <col min="14223" max="14223" width="9.140625" style="5"/>
    <col min="14224" max="14224" width="11" style="5" bestFit="1" customWidth="1"/>
    <col min="14225" max="14225" width="10" style="5" bestFit="1" customWidth="1"/>
    <col min="14226" max="14226" width="10.28515625" style="5" bestFit="1" customWidth="1"/>
    <col min="14227" max="14227" width="9.28515625" style="5" bestFit="1" customWidth="1"/>
    <col min="14228" max="14228" width="11.28515625" style="5" bestFit="1" customWidth="1"/>
    <col min="14229" max="14229" width="9.42578125" style="5" bestFit="1" customWidth="1"/>
    <col min="14230" max="14230" width="8.140625" style="5" bestFit="1" customWidth="1"/>
    <col min="14231" max="14231" width="10" style="5" bestFit="1" customWidth="1"/>
    <col min="14232" max="14232" width="10.28515625" style="5" bestFit="1" customWidth="1"/>
    <col min="14233" max="14233" width="8.7109375" style="5" customWidth="1"/>
    <col min="14234" max="14234" width="10.28515625" style="5" bestFit="1" customWidth="1"/>
    <col min="14235" max="14235" width="11.28515625" style="5" bestFit="1" customWidth="1"/>
    <col min="14236" max="14236" width="10.85546875" style="5" bestFit="1" customWidth="1"/>
    <col min="14237" max="14237" width="9.85546875" style="5" bestFit="1" customWidth="1"/>
    <col min="14238" max="14239" width="9.140625" style="5"/>
    <col min="14240" max="14240" width="9.85546875" style="5" bestFit="1" customWidth="1"/>
    <col min="14241" max="14244" width="9.140625" style="5"/>
    <col min="14245" max="14245" width="13.5703125" style="5" bestFit="1" customWidth="1"/>
    <col min="14246" max="14246" width="10.28515625" style="5" bestFit="1" customWidth="1"/>
    <col min="14247" max="14361" width="9.140625" style="5"/>
    <col min="14362" max="14362" width="3.7109375" style="5" customWidth="1"/>
    <col min="14363" max="14363" width="26.5703125" style="5" customWidth="1"/>
    <col min="14364" max="14365" width="13.7109375" style="5" customWidth="1"/>
    <col min="14366" max="14366" width="11.42578125" style="5" customWidth="1"/>
    <col min="14367" max="14367" width="13.42578125" style="5" customWidth="1"/>
    <col min="14368" max="14368" width="11.140625" style="5" customWidth="1"/>
    <col min="14369" max="14369" width="10.28515625" style="5" customWidth="1"/>
    <col min="14370" max="14370" width="9.42578125" style="5" customWidth="1"/>
    <col min="14371" max="14371" width="8.140625" style="5" customWidth="1"/>
    <col min="14372" max="14372" width="11.42578125" style="5" customWidth="1"/>
    <col min="14373" max="14373" width="7.7109375" style="5" customWidth="1"/>
    <col min="14374" max="14374" width="9" style="5" customWidth="1"/>
    <col min="14375" max="14376" width="9.140625" style="5" customWidth="1"/>
    <col min="14377" max="14381" width="9.140625" style="5"/>
    <col min="14382" max="14382" width="9" style="5" customWidth="1"/>
    <col min="14383" max="14383" width="9.140625" style="5"/>
    <col min="14384" max="14384" width="15.140625" style="5" customWidth="1"/>
    <col min="14385" max="14393" width="9.140625" style="5"/>
    <col min="14394" max="14394" width="10.5703125" style="5" customWidth="1"/>
    <col min="14395" max="14399" width="9.140625" style="5"/>
    <col min="14400" max="14400" width="9" style="5" bestFit="1" customWidth="1"/>
    <col min="14401" max="14401" width="12.140625" style="5" customWidth="1"/>
    <col min="14402" max="14402" width="13.28515625" style="5" customWidth="1"/>
    <col min="14403" max="14403" width="9.140625" style="5"/>
    <col min="14404" max="14404" width="13.140625" style="5" customWidth="1"/>
    <col min="14405" max="14405" width="11.5703125" style="5" customWidth="1"/>
    <col min="14406" max="14406" width="15.42578125" style="5" bestFit="1" customWidth="1"/>
    <col min="14407" max="14424" width="9.140625" style="5"/>
    <col min="14425" max="14427" width="11.140625" style="5" customWidth="1"/>
    <col min="14428" max="14428" width="14.85546875" style="5" bestFit="1" customWidth="1"/>
    <col min="14429" max="14434" width="14.85546875" style="5" customWidth="1"/>
    <col min="14435" max="14438" width="11.140625" style="5" customWidth="1"/>
    <col min="14439" max="14439" width="11" style="5" customWidth="1"/>
    <col min="14440" max="14440" width="13.28515625" style="5" customWidth="1"/>
    <col min="14441" max="14441" width="12.42578125" style="5" customWidth="1"/>
    <col min="14442" max="14450" width="14.85546875" style="5" customWidth="1"/>
    <col min="14451" max="14451" width="13.140625" style="5" customWidth="1"/>
    <col min="14452" max="14452" width="13.7109375" style="5" customWidth="1"/>
    <col min="14453" max="14455" width="13.28515625" style="5" customWidth="1"/>
    <col min="14456" max="14456" width="15.7109375" style="5" customWidth="1"/>
    <col min="14457" max="14457" width="9.140625" style="5"/>
    <col min="14458" max="14458" width="10.28515625" style="5" bestFit="1" customWidth="1"/>
    <col min="14459" max="14459" width="11.5703125" style="5" bestFit="1" customWidth="1"/>
    <col min="14460" max="14460" width="9.140625" style="5" customWidth="1"/>
    <col min="14461" max="14461" width="10.42578125" style="5" customWidth="1"/>
    <col min="14462" max="14463" width="15.85546875" style="5" customWidth="1"/>
    <col min="14464" max="14465" width="16.85546875" style="5" customWidth="1"/>
    <col min="14466" max="14466" width="14.42578125" style="5" customWidth="1"/>
    <col min="14467" max="14468" width="14.28515625" style="5" customWidth="1"/>
    <col min="14469" max="14469" width="14.7109375" style="5" customWidth="1"/>
    <col min="14470" max="14470" width="15.7109375" style="5" customWidth="1"/>
    <col min="14471" max="14471" width="9.140625" style="5"/>
    <col min="14472" max="14472" width="10.28515625" style="5" bestFit="1" customWidth="1"/>
    <col min="14473" max="14473" width="9.140625" style="5"/>
    <col min="14474" max="14474" width="11.5703125" style="5" bestFit="1" customWidth="1"/>
    <col min="14475" max="14475" width="9.28515625" style="5" bestFit="1" customWidth="1"/>
    <col min="14476" max="14476" width="9.140625" style="5"/>
    <col min="14477" max="14477" width="11.7109375" style="5" customWidth="1"/>
    <col min="14478" max="14478" width="10.28515625" style="5" bestFit="1" customWidth="1"/>
    <col min="14479" max="14479" width="9.140625" style="5"/>
    <col min="14480" max="14480" width="11" style="5" bestFit="1" customWidth="1"/>
    <col min="14481" max="14481" width="10" style="5" bestFit="1" customWidth="1"/>
    <col min="14482" max="14482" width="10.28515625" style="5" bestFit="1" customWidth="1"/>
    <col min="14483" max="14483" width="9.28515625" style="5" bestFit="1" customWidth="1"/>
    <col min="14484" max="14484" width="11.28515625" style="5" bestFit="1" customWidth="1"/>
    <col min="14485" max="14485" width="9.42578125" style="5" bestFit="1" customWidth="1"/>
    <col min="14486" max="14486" width="8.140625" style="5" bestFit="1" customWidth="1"/>
    <col min="14487" max="14487" width="10" style="5" bestFit="1" customWidth="1"/>
    <col min="14488" max="14488" width="10.28515625" style="5" bestFit="1" customWidth="1"/>
    <col min="14489" max="14489" width="8.7109375" style="5" customWidth="1"/>
    <col min="14490" max="14490" width="10.28515625" style="5" bestFit="1" customWidth="1"/>
    <col min="14491" max="14491" width="11.28515625" style="5" bestFit="1" customWidth="1"/>
    <col min="14492" max="14492" width="10.85546875" style="5" bestFit="1" customWidth="1"/>
    <col min="14493" max="14493" width="9.85546875" style="5" bestFit="1" customWidth="1"/>
    <col min="14494" max="14495" width="9.140625" style="5"/>
    <col min="14496" max="14496" width="9.85546875" style="5" bestFit="1" customWidth="1"/>
    <col min="14497" max="14500" width="9.140625" style="5"/>
    <col min="14501" max="14501" width="13.5703125" style="5" bestFit="1" customWidth="1"/>
    <col min="14502" max="14502" width="10.28515625" style="5" bestFit="1" customWidth="1"/>
    <col min="14503" max="14617" width="9.140625" style="5"/>
    <col min="14618" max="14618" width="3.7109375" style="5" customWidth="1"/>
    <col min="14619" max="14619" width="26.5703125" style="5" customWidth="1"/>
    <col min="14620" max="14621" width="13.7109375" style="5" customWidth="1"/>
    <col min="14622" max="14622" width="11.42578125" style="5" customWidth="1"/>
    <col min="14623" max="14623" width="13.42578125" style="5" customWidth="1"/>
    <col min="14624" max="14624" width="11.140625" style="5" customWidth="1"/>
    <col min="14625" max="14625" width="10.28515625" style="5" customWidth="1"/>
    <col min="14626" max="14626" width="9.42578125" style="5" customWidth="1"/>
    <col min="14627" max="14627" width="8.140625" style="5" customWidth="1"/>
    <col min="14628" max="14628" width="11.42578125" style="5" customWidth="1"/>
    <col min="14629" max="14629" width="7.7109375" style="5" customWidth="1"/>
    <col min="14630" max="14630" width="9" style="5" customWidth="1"/>
    <col min="14631" max="14632" width="9.140625" style="5" customWidth="1"/>
    <col min="14633" max="14637" width="9.140625" style="5"/>
    <col min="14638" max="14638" width="9" style="5" customWidth="1"/>
    <col min="14639" max="14639" width="9.140625" style="5"/>
    <col min="14640" max="14640" width="15.140625" style="5" customWidth="1"/>
    <col min="14641" max="14649" width="9.140625" style="5"/>
    <col min="14650" max="14650" width="10.5703125" style="5" customWidth="1"/>
    <col min="14651" max="14655" width="9.140625" style="5"/>
    <col min="14656" max="14656" width="9" style="5" bestFit="1" customWidth="1"/>
    <col min="14657" max="14657" width="12.140625" style="5" customWidth="1"/>
    <col min="14658" max="14658" width="13.28515625" style="5" customWidth="1"/>
    <col min="14659" max="14659" width="9.140625" style="5"/>
    <col min="14660" max="14660" width="13.140625" style="5" customWidth="1"/>
    <col min="14661" max="14661" width="11.5703125" style="5" customWidth="1"/>
    <col min="14662" max="14662" width="15.42578125" style="5" bestFit="1" customWidth="1"/>
    <col min="14663" max="14680" width="9.140625" style="5"/>
    <col min="14681" max="14683" width="11.140625" style="5" customWidth="1"/>
    <col min="14684" max="14684" width="14.85546875" style="5" bestFit="1" customWidth="1"/>
    <col min="14685" max="14690" width="14.85546875" style="5" customWidth="1"/>
    <col min="14691" max="14694" width="11.140625" style="5" customWidth="1"/>
    <col min="14695" max="14695" width="11" style="5" customWidth="1"/>
    <col min="14696" max="14696" width="13.28515625" style="5" customWidth="1"/>
    <col min="14697" max="14697" width="12.42578125" style="5" customWidth="1"/>
    <col min="14698" max="14706" width="14.85546875" style="5" customWidth="1"/>
    <col min="14707" max="14707" width="13.140625" style="5" customWidth="1"/>
    <col min="14708" max="14708" width="13.7109375" style="5" customWidth="1"/>
    <col min="14709" max="14711" width="13.28515625" style="5" customWidth="1"/>
    <col min="14712" max="14712" width="15.7109375" style="5" customWidth="1"/>
    <col min="14713" max="14713" width="9.140625" style="5"/>
    <col min="14714" max="14714" width="10.28515625" style="5" bestFit="1" customWidth="1"/>
    <col min="14715" max="14715" width="11.5703125" style="5" bestFit="1" customWidth="1"/>
    <col min="14716" max="14716" width="9.140625" style="5" customWidth="1"/>
    <col min="14717" max="14717" width="10.42578125" style="5" customWidth="1"/>
    <col min="14718" max="14719" width="15.85546875" style="5" customWidth="1"/>
    <col min="14720" max="14721" width="16.85546875" style="5" customWidth="1"/>
    <col min="14722" max="14722" width="14.42578125" style="5" customWidth="1"/>
    <col min="14723" max="14724" width="14.28515625" style="5" customWidth="1"/>
    <col min="14725" max="14725" width="14.7109375" style="5" customWidth="1"/>
    <col min="14726" max="14726" width="15.7109375" style="5" customWidth="1"/>
    <col min="14727" max="14727" width="9.140625" style="5"/>
    <col min="14728" max="14728" width="10.28515625" style="5" bestFit="1" customWidth="1"/>
    <col min="14729" max="14729" width="9.140625" style="5"/>
    <col min="14730" max="14730" width="11.5703125" style="5" bestFit="1" customWidth="1"/>
    <col min="14731" max="14731" width="9.28515625" style="5" bestFit="1" customWidth="1"/>
    <col min="14732" max="14732" width="9.140625" style="5"/>
    <col min="14733" max="14733" width="11.7109375" style="5" customWidth="1"/>
    <col min="14734" max="14734" width="10.28515625" style="5" bestFit="1" customWidth="1"/>
    <col min="14735" max="14735" width="9.140625" style="5"/>
    <col min="14736" max="14736" width="11" style="5" bestFit="1" customWidth="1"/>
    <col min="14737" max="14737" width="10" style="5" bestFit="1" customWidth="1"/>
    <col min="14738" max="14738" width="10.28515625" style="5" bestFit="1" customWidth="1"/>
    <col min="14739" max="14739" width="9.28515625" style="5" bestFit="1" customWidth="1"/>
    <col min="14740" max="14740" width="11.28515625" style="5" bestFit="1" customWidth="1"/>
    <col min="14741" max="14741" width="9.42578125" style="5" bestFit="1" customWidth="1"/>
    <col min="14742" max="14742" width="8.140625" style="5" bestFit="1" customWidth="1"/>
    <col min="14743" max="14743" width="10" style="5" bestFit="1" customWidth="1"/>
    <col min="14744" max="14744" width="10.28515625" style="5" bestFit="1" customWidth="1"/>
    <col min="14745" max="14745" width="8.7109375" style="5" customWidth="1"/>
    <col min="14746" max="14746" width="10.28515625" style="5" bestFit="1" customWidth="1"/>
    <col min="14747" max="14747" width="11.28515625" style="5" bestFit="1" customWidth="1"/>
    <col min="14748" max="14748" width="10.85546875" style="5" bestFit="1" customWidth="1"/>
    <col min="14749" max="14749" width="9.85546875" style="5" bestFit="1" customWidth="1"/>
    <col min="14750" max="14751" width="9.140625" style="5"/>
    <col min="14752" max="14752" width="9.85546875" style="5" bestFit="1" customWidth="1"/>
    <col min="14753" max="14756" width="9.140625" style="5"/>
    <col min="14757" max="14757" width="13.5703125" style="5" bestFit="1" customWidth="1"/>
    <col min="14758" max="14758" width="10.28515625" style="5" bestFit="1" customWidth="1"/>
    <col min="14759" max="14873" width="9.140625" style="5"/>
    <col min="14874" max="14874" width="3.7109375" style="5" customWidth="1"/>
    <col min="14875" max="14875" width="26.5703125" style="5" customWidth="1"/>
    <col min="14876" max="14877" width="13.7109375" style="5" customWidth="1"/>
    <col min="14878" max="14878" width="11.42578125" style="5" customWidth="1"/>
    <col min="14879" max="14879" width="13.42578125" style="5" customWidth="1"/>
    <col min="14880" max="14880" width="11.140625" style="5" customWidth="1"/>
    <col min="14881" max="14881" width="10.28515625" style="5" customWidth="1"/>
    <col min="14882" max="14882" width="9.42578125" style="5" customWidth="1"/>
    <col min="14883" max="14883" width="8.140625" style="5" customWidth="1"/>
    <col min="14884" max="14884" width="11.42578125" style="5" customWidth="1"/>
    <col min="14885" max="14885" width="7.7109375" style="5" customWidth="1"/>
    <col min="14886" max="14886" width="9" style="5" customWidth="1"/>
    <col min="14887" max="14888" width="9.140625" style="5" customWidth="1"/>
    <col min="14889" max="14893" width="9.140625" style="5"/>
    <col min="14894" max="14894" width="9" style="5" customWidth="1"/>
    <col min="14895" max="14895" width="9.140625" style="5"/>
    <col min="14896" max="14896" width="15.140625" style="5" customWidth="1"/>
    <col min="14897" max="14905" width="9.140625" style="5"/>
    <col min="14906" max="14906" width="10.5703125" style="5" customWidth="1"/>
    <col min="14907" max="14911" width="9.140625" style="5"/>
    <col min="14912" max="14912" width="9" style="5" bestFit="1" customWidth="1"/>
    <col min="14913" max="14913" width="12.140625" style="5" customWidth="1"/>
    <col min="14914" max="14914" width="13.28515625" style="5" customWidth="1"/>
    <col min="14915" max="14915" width="9.140625" style="5"/>
    <col min="14916" max="14916" width="13.140625" style="5" customWidth="1"/>
    <col min="14917" max="14917" width="11.5703125" style="5" customWidth="1"/>
    <col min="14918" max="14918" width="15.42578125" style="5" bestFit="1" customWidth="1"/>
    <col min="14919" max="14936" width="9.140625" style="5"/>
    <col min="14937" max="14939" width="11.140625" style="5" customWidth="1"/>
    <col min="14940" max="14940" width="14.85546875" style="5" bestFit="1" customWidth="1"/>
    <col min="14941" max="14946" width="14.85546875" style="5" customWidth="1"/>
    <col min="14947" max="14950" width="11.140625" style="5" customWidth="1"/>
    <col min="14951" max="14951" width="11" style="5" customWidth="1"/>
    <col min="14952" max="14952" width="13.28515625" style="5" customWidth="1"/>
    <col min="14953" max="14953" width="12.42578125" style="5" customWidth="1"/>
    <col min="14954" max="14962" width="14.85546875" style="5" customWidth="1"/>
    <col min="14963" max="14963" width="13.140625" style="5" customWidth="1"/>
    <col min="14964" max="14964" width="13.7109375" style="5" customWidth="1"/>
    <col min="14965" max="14967" width="13.28515625" style="5" customWidth="1"/>
    <col min="14968" max="14968" width="15.7109375" style="5" customWidth="1"/>
    <col min="14969" max="14969" width="9.140625" style="5"/>
    <col min="14970" max="14970" width="10.28515625" style="5" bestFit="1" customWidth="1"/>
    <col min="14971" max="14971" width="11.5703125" style="5" bestFit="1" customWidth="1"/>
    <col min="14972" max="14972" width="9.140625" style="5" customWidth="1"/>
    <col min="14973" max="14973" width="10.42578125" style="5" customWidth="1"/>
    <col min="14974" max="14975" width="15.85546875" style="5" customWidth="1"/>
    <col min="14976" max="14977" width="16.85546875" style="5" customWidth="1"/>
    <col min="14978" max="14978" width="14.42578125" style="5" customWidth="1"/>
    <col min="14979" max="14980" width="14.28515625" style="5" customWidth="1"/>
    <col min="14981" max="14981" width="14.7109375" style="5" customWidth="1"/>
    <col min="14982" max="14982" width="15.7109375" style="5" customWidth="1"/>
    <col min="14983" max="14983" width="9.140625" style="5"/>
    <col min="14984" max="14984" width="10.28515625" style="5" bestFit="1" customWidth="1"/>
    <col min="14985" max="14985" width="9.140625" style="5"/>
    <col min="14986" max="14986" width="11.5703125" style="5" bestFit="1" customWidth="1"/>
    <col min="14987" max="14987" width="9.28515625" style="5" bestFit="1" customWidth="1"/>
    <col min="14988" max="14988" width="9.140625" style="5"/>
    <col min="14989" max="14989" width="11.7109375" style="5" customWidth="1"/>
    <col min="14990" max="14990" width="10.28515625" style="5" bestFit="1" customWidth="1"/>
    <col min="14991" max="14991" width="9.140625" style="5"/>
    <col min="14992" max="14992" width="11" style="5" bestFit="1" customWidth="1"/>
    <col min="14993" max="14993" width="10" style="5" bestFit="1" customWidth="1"/>
    <col min="14994" max="14994" width="10.28515625" style="5" bestFit="1" customWidth="1"/>
    <col min="14995" max="14995" width="9.28515625" style="5" bestFit="1" customWidth="1"/>
    <col min="14996" max="14996" width="11.28515625" style="5" bestFit="1" customWidth="1"/>
    <col min="14997" max="14997" width="9.42578125" style="5" bestFit="1" customWidth="1"/>
    <col min="14998" max="14998" width="8.140625" style="5" bestFit="1" customWidth="1"/>
    <col min="14999" max="14999" width="10" style="5" bestFit="1" customWidth="1"/>
    <col min="15000" max="15000" width="10.28515625" style="5" bestFit="1" customWidth="1"/>
    <col min="15001" max="15001" width="8.7109375" style="5" customWidth="1"/>
    <col min="15002" max="15002" width="10.28515625" style="5" bestFit="1" customWidth="1"/>
    <col min="15003" max="15003" width="11.28515625" style="5" bestFit="1" customWidth="1"/>
    <col min="15004" max="15004" width="10.85546875" style="5" bestFit="1" customWidth="1"/>
    <col min="15005" max="15005" width="9.85546875" style="5" bestFit="1" customWidth="1"/>
    <col min="15006" max="15007" width="9.140625" style="5"/>
    <col min="15008" max="15008" width="9.85546875" style="5" bestFit="1" customWidth="1"/>
    <col min="15009" max="15012" width="9.140625" style="5"/>
    <col min="15013" max="15013" width="13.5703125" style="5" bestFit="1" customWidth="1"/>
    <col min="15014" max="15014" width="10.28515625" style="5" bestFit="1" customWidth="1"/>
    <col min="15015" max="15129" width="9.140625" style="5"/>
    <col min="15130" max="15130" width="3.7109375" style="5" customWidth="1"/>
    <col min="15131" max="15131" width="26.5703125" style="5" customWidth="1"/>
    <col min="15132" max="15133" width="13.7109375" style="5" customWidth="1"/>
    <col min="15134" max="15134" width="11.42578125" style="5" customWidth="1"/>
    <col min="15135" max="15135" width="13.42578125" style="5" customWidth="1"/>
    <col min="15136" max="15136" width="11.140625" style="5" customWidth="1"/>
    <col min="15137" max="15137" width="10.28515625" style="5" customWidth="1"/>
    <col min="15138" max="15138" width="9.42578125" style="5" customWidth="1"/>
    <col min="15139" max="15139" width="8.140625" style="5" customWidth="1"/>
    <col min="15140" max="15140" width="11.42578125" style="5" customWidth="1"/>
    <col min="15141" max="15141" width="7.7109375" style="5" customWidth="1"/>
    <col min="15142" max="15142" width="9" style="5" customWidth="1"/>
    <col min="15143" max="15144" width="9.140625" style="5" customWidth="1"/>
    <col min="15145" max="15149" width="9.140625" style="5"/>
    <col min="15150" max="15150" width="9" style="5" customWidth="1"/>
    <col min="15151" max="15151" width="9.140625" style="5"/>
    <col min="15152" max="15152" width="15.140625" style="5" customWidth="1"/>
    <col min="15153" max="15161" width="9.140625" style="5"/>
    <col min="15162" max="15162" width="10.5703125" style="5" customWidth="1"/>
    <col min="15163" max="15167" width="9.140625" style="5"/>
    <col min="15168" max="15168" width="9" style="5" bestFit="1" customWidth="1"/>
    <col min="15169" max="15169" width="12.140625" style="5" customWidth="1"/>
    <col min="15170" max="15170" width="13.28515625" style="5" customWidth="1"/>
    <col min="15171" max="15171" width="9.140625" style="5"/>
    <col min="15172" max="15172" width="13.140625" style="5" customWidth="1"/>
    <col min="15173" max="15173" width="11.5703125" style="5" customWidth="1"/>
    <col min="15174" max="15174" width="15.42578125" style="5" bestFit="1" customWidth="1"/>
    <col min="15175" max="15192" width="9.140625" style="5"/>
    <col min="15193" max="15195" width="11.140625" style="5" customWidth="1"/>
    <col min="15196" max="15196" width="14.85546875" style="5" bestFit="1" customWidth="1"/>
    <col min="15197" max="15202" width="14.85546875" style="5" customWidth="1"/>
    <col min="15203" max="15206" width="11.140625" style="5" customWidth="1"/>
    <col min="15207" max="15207" width="11" style="5" customWidth="1"/>
    <col min="15208" max="15208" width="13.28515625" style="5" customWidth="1"/>
    <col min="15209" max="15209" width="12.42578125" style="5" customWidth="1"/>
    <col min="15210" max="15218" width="14.85546875" style="5" customWidth="1"/>
    <col min="15219" max="15219" width="13.140625" style="5" customWidth="1"/>
    <col min="15220" max="15220" width="13.7109375" style="5" customWidth="1"/>
    <col min="15221" max="15223" width="13.28515625" style="5" customWidth="1"/>
    <col min="15224" max="15224" width="15.7109375" style="5" customWidth="1"/>
    <col min="15225" max="15225" width="9.140625" style="5"/>
    <col min="15226" max="15226" width="10.28515625" style="5" bestFit="1" customWidth="1"/>
    <col min="15227" max="15227" width="11.5703125" style="5" bestFit="1" customWidth="1"/>
    <col min="15228" max="15228" width="9.140625" style="5" customWidth="1"/>
    <col min="15229" max="15229" width="10.42578125" style="5" customWidth="1"/>
    <col min="15230" max="15231" width="15.85546875" style="5" customWidth="1"/>
    <col min="15232" max="15233" width="16.85546875" style="5" customWidth="1"/>
    <col min="15234" max="15234" width="14.42578125" style="5" customWidth="1"/>
    <col min="15235" max="15236" width="14.28515625" style="5" customWidth="1"/>
    <col min="15237" max="15237" width="14.7109375" style="5" customWidth="1"/>
    <col min="15238" max="15238" width="15.7109375" style="5" customWidth="1"/>
    <col min="15239" max="15239" width="9.140625" style="5"/>
    <col min="15240" max="15240" width="10.28515625" style="5" bestFit="1" customWidth="1"/>
    <col min="15241" max="15241" width="9.140625" style="5"/>
    <col min="15242" max="15242" width="11.5703125" style="5" bestFit="1" customWidth="1"/>
    <col min="15243" max="15243" width="9.28515625" style="5" bestFit="1" customWidth="1"/>
    <col min="15244" max="15244" width="9.140625" style="5"/>
    <col min="15245" max="15245" width="11.7109375" style="5" customWidth="1"/>
    <col min="15246" max="15246" width="10.28515625" style="5" bestFit="1" customWidth="1"/>
    <col min="15247" max="15247" width="9.140625" style="5"/>
    <col min="15248" max="15248" width="11" style="5" bestFit="1" customWidth="1"/>
    <col min="15249" max="15249" width="10" style="5" bestFit="1" customWidth="1"/>
    <col min="15250" max="15250" width="10.28515625" style="5" bestFit="1" customWidth="1"/>
    <col min="15251" max="15251" width="9.28515625" style="5" bestFit="1" customWidth="1"/>
    <col min="15252" max="15252" width="11.28515625" style="5" bestFit="1" customWidth="1"/>
    <col min="15253" max="15253" width="9.42578125" style="5" bestFit="1" customWidth="1"/>
    <col min="15254" max="15254" width="8.140625" style="5" bestFit="1" customWidth="1"/>
    <col min="15255" max="15255" width="10" style="5" bestFit="1" customWidth="1"/>
    <col min="15256" max="15256" width="10.28515625" style="5" bestFit="1" customWidth="1"/>
    <col min="15257" max="15257" width="8.7109375" style="5" customWidth="1"/>
    <col min="15258" max="15258" width="10.28515625" style="5" bestFit="1" customWidth="1"/>
    <col min="15259" max="15259" width="11.28515625" style="5" bestFit="1" customWidth="1"/>
    <col min="15260" max="15260" width="10.85546875" style="5" bestFit="1" customWidth="1"/>
    <col min="15261" max="15261" width="9.85546875" style="5" bestFit="1" customWidth="1"/>
    <col min="15262" max="15263" width="9.140625" style="5"/>
    <col min="15264" max="15264" width="9.85546875" style="5" bestFit="1" customWidth="1"/>
    <col min="15265" max="15268" width="9.140625" style="5"/>
    <col min="15269" max="15269" width="13.5703125" style="5" bestFit="1" customWidth="1"/>
    <col min="15270" max="15270" width="10.28515625" style="5" bestFit="1" customWidth="1"/>
    <col min="15271" max="15385" width="9.140625" style="5"/>
    <col min="15386" max="15386" width="3.7109375" style="5" customWidth="1"/>
    <col min="15387" max="15387" width="26.5703125" style="5" customWidth="1"/>
    <col min="15388" max="15389" width="13.7109375" style="5" customWidth="1"/>
    <col min="15390" max="15390" width="11.42578125" style="5" customWidth="1"/>
    <col min="15391" max="15391" width="13.42578125" style="5" customWidth="1"/>
    <col min="15392" max="15392" width="11.140625" style="5" customWidth="1"/>
    <col min="15393" max="15393" width="10.28515625" style="5" customWidth="1"/>
    <col min="15394" max="15394" width="9.42578125" style="5" customWidth="1"/>
    <col min="15395" max="15395" width="8.140625" style="5" customWidth="1"/>
    <col min="15396" max="15396" width="11.42578125" style="5" customWidth="1"/>
    <col min="15397" max="15397" width="7.7109375" style="5" customWidth="1"/>
    <col min="15398" max="15398" width="9" style="5" customWidth="1"/>
    <col min="15399" max="15400" width="9.140625" style="5" customWidth="1"/>
    <col min="15401" max="15405" width="9.140625" style="5"/>
    <col min="15406" max="15406" width="9" style="5" customWidth="1"/>
    <col min="15407" max="15407" width="9.140625" style="5"/>
    <col min="15408" max="15408" width="15.140625" style="5" customWidth="1"/>
    <col min="15409" max="15417" width="9.140625" style="5"/>
    <col min="15418" max="15418" width="10.5703125" style="5" customWidth="1"/>
    <col min="15419" max="15423" width="9.140625" style="5"/>
    <col min="15424" max="15424" width="9" style="5" bestFit="1" customWidth="1"/>
    <col min="15425" max="15425" width="12.140625" style="5" customWidth="1"/>
    <col min="15426" max="15426" width="13.28515625" style="5" customWidth="1"/>
    <col min="15427" max="15427" width="9.140625" style="5"/>
    <col min="15428" max="15428" width="13.140625" style="5" customWidth="1"/>
    <col min="15429" max="15429" width="11.5703125" style="5" customWidth="1"/>
    <col min="15430" max="15430" width="15.42578125" style="5" bestFit="1" customWidth="1"/>
    <col min="15431" max="15448" width="9.140625" style="5"/>
    <col min="15449" max="15451" width="11.140625" style="5" customWidth="1"/>
    <col min="15452" max="15452" width="14.85546875" style="5" bestFit="1" customWidth="1"/>
    <col min="15453" max="15458" width="14.85546875" style="5" customWidth="1"/>
    <col min="15459" max="15462" width="11.140625" style="5" customWidth="1"/>
    <col min="15463" max="15463" width="11" style="5" customWidth="1"/>
    <col min="15464" max="15464" width="13.28515625" style="5" customWidth="1"/>
    <col min="15465" max="15465" width="12.42578125" style="5" customWidth="1"/>
    <col min="15466" max="15474" width="14.85546875" style="5" customWidth="1"/>
    <col min="15475" max="15475" width="13.140625" style="5" customWidth="1"/>
    <col min="15476" max="15476" width="13.7109375" style="5" customWidth="1"/>
    <col min="15477" max="15479" width="13.28515625" style="5" customWidth="1"/>
    <col min="15480" max="15480" width="15.7109375" style="5" customWidth="1"/>
    <col min="15481" max="15481" width="9.140625" style="5"/>
    <col min="15482" max="15482" width="10.28515625" style="5" bestFit="1" customWidth="1"/>
    <col min="15483" max="15483" width="11.5703125" style="5" bestFit="1" customWidth="1"/>
    <col min="15484" max="15484" width="9.140625" style="5" customWidth="1"/>
    <col min="15485" max="15485" width="10.42578125" style="5" customWidth="1"/>
    <col min="15486" max="15487" width="15.85546875" style="5" customWidth="1"/>
    <col min="15488" max="15489" width="16.85546875" style="5" customWidth="1"/>
    <col min="15490" max="15490" width="14.42578125" style="5" customWidth="1"/>
    <col min="15491" max="15492" width="14.28515625" style="5" customWidth="1"/>
    <col min="15493" max="15493" width="14.7109375" style="5" customWidth="1"/>
    <col min="15494" max="15494" width="15.7109375" style="5" customWidth="1"/>
    <col min="15495" max="15495" width="9.140625" style="5"/>
    <col min="15496" max="15496" width="10.28515625" style="5" bestFit="1" customWidth="1"/>
    <col min="15497" max="15497" width="9.140625" style="5"/>
    <col min="15498" max="15498" width="11.5703125" style="5" bestFit="1" customWidth="1"/>
    <col min="15499" max="15499" width="9.28515625" style="5" bestFit="1" customWidth="1"/>
    <col min="15500" max="15500" width="9.140625" style="5"/>
    <col min="15501" max="15501" width="11.7109375" style="5" customWidth="1"/>
    <col min="15502" max="15502" width="10.28515625" style="5" bestFit="1" customWidth="1"/>
    <col min="15503" max="15503" width="9.140625" style="5"/>
    <col min="15504" max="15504" width="11" style="5" bestFit="1" customWidth="1"/>
    <col min="15505" max="15505" width="10" style="5" bestFit="1" customWidth="1"/>
    <col min="15506" max="15506" width="10.28515625" style="5" bestFit="1" customWidth="1"/>
    <col min="15507" max="15507" width="9.28515625" style="5" bestFit="1" customWidth="1"/>
    <col min="15508" max="15508" width="11.28515625" style="5" bestFit="1" customWidth="1"/>
    <col min="15509" max="15509" width="9.42578125" style="5" bestFit="1" customWidth="1"/>
    <col min="15510" max="15510" width="8.140625" style="5" bestFit="1" customWidth="1"/>
    <col min="15511" max="15511" width="10" style="5" bestFit="1" customWidth="1"/>
    <col min="15512" max="15512" width="10.28515625" style="5" bestFit="1" customWidth="1"/>
    <col min="15513" max="15513" width="8.7109375" style="5" customWidth="1"/>
    <col min="15514" max="15514" width="10.28515625" style="5" bestFit="1" customWidth="1"/>
    <col min="15515" max="15515" width="11.28515625" style="5" bestFit="1" customWidth="1"/>
    <col min="15516" max="15516" width="10.85546875" style="5" bestFit="1" customWidth="1"/>
    <col min="15517" max="15517" width="9.85546875" style="5" bestFit="1" customWidth="1"/>
    <col min="15518" max="15519" width="9.140625" style="5"/>
    <col min="15520" max="15520" width="9.85546875" style="5" bestFit="1" customWidth="1"/>
    <col min="15521" max="15524" width="9.140625" style="5"/>
    <col min="15525" max="15525" width="13.5703125" style="5" bestFit="1" customWidth="1"/>
    <col min="15526" max="15526" width="10.28515625" style="5" bestFit="1" customWidth="1"/>
    <col min="15527" max="15641" width="9.140625" style="5"/>
    <col min="15642" max="15642" width="3.7109375" style="5" customWidth="1"/>
    <col min="15643" max="15643" width="26.5703125" style="5" customWidth="1"/>
    <col min="15644" max="15645" width="13.7109375" style="5" customWidth="1"/>
    <col min="15646" max="15646" width="11.42578125" style="5" customWidth="1"/>
    <col min="15647" max="15647" width="13.42578125" style="5" customWidth="1"/>
    <col min="15648" max="15648" width="11.140625" style="5" customWidth="1"/>
    <col min="15649" max="15649" width="10.28515625" style="5" customWidth="1"/>
    <col min="15650" max="15650" width="9.42578125" style="5" customWidth="1"/>
    <col min="15651" max="15651" width="8.140625" style="5" customWidth="1"/>
    <col min="15652" max="15652" width="11.42578125" style="5" customWidth="1"/>
    <col min="15653" max="15653" width="7.7109375" style="5" customWidth="1"/>
    <col min="15654" max="15654" width="9" style="5" customWidth="1"/>
    <col min="15655" max="15656" width="9.140625" style="5" customWidth="1"/>
    <col min="15657" max="15661" width="9.140625" style="5"/>
    <col min="15662" max="15662" width="9" style="5" customWidth="1"/>
    <col min="15663" max="15663" width="9.140625" style="5"/>
    <col min="15664" max="15664" width="15.140625" style="5" customWidth="1"/>
    <col min="15665" max="15673" width="9.140625" style="5"/>
    <col min="15674" max="15674" width="10.5703125" style="5" customWidth="1"/>
    <col min="15675" max="15679" width="9.140625" style="5"/>
    <col min="15680" max="15680" width="9" style="5" bestFit="1" customWidth="1"/>
    <col min="15681" max="15681" width="12.140625" style="5" customWidth="1"/>
    <col min="15682" max="15682" width="13.28515625" style="5" customWidth="1"/>
    <col min="15683" max="15683" width="9.140625" style="5"/>
    <col min="15684" max="15684" width="13.140625" style="5" customWidth="1"/>
    <col min="15685" max="15685" width="11.5703125" style="5" customWidth="1"/>
    <col min="15686" max="15686" width="15.42578125" style="5" bestFit="1" customWidth="1"/>
    <col min="15687" max="15704" width="9.140625" style="5"/>
    <col min="15705" max="15707" width="11.140625" style="5" customWidth="1"/>
    <col min="15708" max="15708" width="14.85546875" style="5" bestFit="1" customWidth="1"/>
    <col min="15709" max="15714" width="14.85546875" style="5" customWidth="1"/>
    <col min="15715" max="15718" width="11.140625" style="5" customWidth="1"/>
    <col min="15719" max="15719" width="11" style="5" customWidth="1"/>
    <col min="15720" max="15720" width="13.28515625" style="5" customWidth="1"/>
    <col min="15721" max="15721" width="12.42578125" style="5" customWidth="1"/>
    <col min="15722" max="15730" width="14.85546875" style="5" customWidth="1"/>
    <col min="15731" max="15731" width="13.140625" style="5" customWidth="1"/>
    <col min="15732" max="15732" width="13.7109375" style="5" customWidth="1"/>
    <col min="15733" max="15735" width="13.28515625" style="5" customWidth="1"/>
    <col min="15736" max="15736" width="15.7109375" style="5" customWidth="1"/>
    <col min="15737" max="15737" width="9.140625" style="5"/>
    <col min="15738" max="15738" width="10.28515625" style="5" bestFit="1" customWidth="1"/>
    <col min="15739" max="15739" width="11.5703125" style="5" bestFit="1" customWidth="1"/>
    <col min="15740" max="15740" width="9.140625" style="5" customWidth="1"/>
    <col min="15741" max="15741" width="10.42578125" style="5" customWidth="1"/>
    <col min="15742" max="15743" width="15.85546875" style="5" customWidth="1"/>
    <col min="15744" max="15745" width="16.85546875" style="5" customWidth="1"/>
    <col min="15746" max="15746" width="14.42578125" style="5" customWidth="1"/>
    <col min="15747" max="15748" width="14.28515625" style="5" customWidth="1"/>
    <col min="15749" max="15749" width="14.7109375" style="5" customWidth="1"/>
    <col min="15750" max="15750" width="15.7109375" style="5" customWidth="1"/>
    <col min="15751" max="15751" width="9.140625" style="5"/>
    <col min="15752" max="15752" width="10.28515625" style="5" bestFit="1" customWidth="1"/>
    <col min="15753" max="15753" width="9.140625" style="5"/>
    <col min="15754" max="15754" width="11.5703125" style="5" bestFit="1" customWidth="1"/>
    <col min="15755" max="15755" width="9.28515625" style="5" bestFit="1" customWidth="1"/>
    <col min="15756" max="15756" width="9.140625" style="5"/>
    <col min="15757" max="15757" width="11.7109375" style="5" customWidth="1"/>
    <col min="15758" max="15758" width="10.28515625" style="5" bestFit="1" customWidth="1"/>
    <col min="15759" max="15759" width="9.140625" style="5"/>
    <col min="15760" max="15760" width="11" style="5" bestFit="1" customWidth="1"/>
    <col min="15761" max="15761" width="10" style="5" bestFit="1" customWidth="1"/>
    <col min="15762" max="15762" width="10.28515625" style="5" bestFit="1" customWidth="1"/>
    <col min="15763" max="15763" width="9.28515625" style="5" bestFit="1" customWidth="1"/>
    <col min="15764" max="15764" width="11.28515625" style="5" bestFit="1" customWidth="1"/>
    <col min="15765" max="15765" width="9.42578125" style="5" bestFit="1" customWidth="1"/>
    <col min="15766" max="15766" width="8.140625" style="5" bestFit="1" customWidth="1"/>
    <col min="15767" max="15767" width="10" style="5" bestFit="1" customWidth="1"/>
    <col min="15768" max="15768" width="10.28515625" style="5" bestFit="1" customWidth="1"/>
    <col min="15769" max="15769" width="8.7109375" style="5" customWidth="1"/>
    <col min="15770" max="15770" width="10.28515625" style="5" bestFit="1" customWidth="1"/>
    <col min="15771" max="15771" width="11.28515625" style="5" bestFit="1" customWidth="1"/>
    <col min="15772" max="15772" width="10.85546875" style="5" bestFit="1" customWidth="1"/>
    <col min="15773" max="15773" width="9.85546875" style="5" bestFit="1" customWidth="1"/>
    <col min="15774" max="15775" width="9.140625" style="5"/>
    <col min="15776" max="15776" width="9.85546875" style="5" bestFit="1" customWidth="1"/>
    <col min="15777" max="15780" width="9.140625" style="5"/>
    <col min="15781" max="15781" width="13.5703125" style="5" bestFit="1" customWidth="1"/>
    <col min="15782" max="15782" width="10.28515625" style="5" bestFit="1" customWidth="1"/>
    <col min="15783" max="15897" width="9.140625" style="5"/>
    <col min="15898" max="15898" width="3.7109375" style="5" customWidth="1"/>
    <col min="15899" max="15899" width="26.5703125" style="5" customWidth="1"/>
    <col min="15900" max="15901" width="13.7109375" style="5" customWidth="1"/>
    <col min="15902" max="15902" width="11.42578125" style="5" customWidth="1"/>
    <col min="15903" max="15903" width="13.42578125" style="5" customWidth="1"/>
    <col min="15904" max="15904" width="11.140625" style="5" customWidth="1"/>
    <col min="15905" max="15905" width="10.28515625" style="5" customWidth="1"/>
    <col min="15906" max="15906" width="9.42578125" style="5" customWidth="1"/>
    <col min="15907" max="15907" width="8.140625" style="5" customWidth="1"/>
    <col min="15908" max="15908" width="11.42578125" style="5" customWidth="1"/>
    <col min="15909" max="15909" width="7.7109375" style="5" customWidth="1"/>
    <col min="15910" max="15910" width="9" style="5" customWidth="1"/>
    <col min="15911" max="15912" width="9.140625" style="5" customWidth="1"/>
    <col min="15913" max="15917" width="9.140625" style="5"/>
    <col min="15918" max="15918" width="9" style="5" customWidth="1"/>
    <col min="15919" max="15919" width="9.140625" style="5"/>
    <col min="15920" max="15920" width="15.140625" style="5" customWidth="1"/>
    <col min="15921" max="15929" width="9.140625" style="5"/>
    <col min="15930" max="15930" width="10.5703125" style="5" customWidth="1"/>
    <col min="15931" max="15935" width="9.140625" style="5"/>
    <col min="15936" max="15936" width="9" style="5" bestFit="1" customWidth="1"/>
    <col min="15937" max="15937" width="12.140625" style="5" customWidth="1"/>
    <col min="15938" max="15938" width="13.28515625" style="5" customWidth="1"/>
    <col min="15939" max="15939" width="9.140625" style="5"/>
    <col min="15940" max="15940" width="13.140625" style="5" customWidth="1"/>
    <col min="15941" max="15941" width="11.5703125" style="5" customWidth="1"/>
    <col min="15942" max="15942" width="15.42578125" style="5" bestFit="1" customWidth="1"/>
    <col min="15943" max="15960" width="9.140625" style="5"/>
    <col min="15961" max="15963" width="11.140625" style="5" customWidth="1"/>
    <col min="15964" max="15964" width="14.85546875" style="5" bestFit="1" customWidth="1"/>
    <col min="15965" max="15970" width="14.85546875" style="5" customWidth="1"/>
    <col min="15971" max="15974" width="11.140625" style="5" customWidth="1"/>
    <col min="15975" max="15975" width="11" style="5" customWidth="1"/>
    <col min="15976" max="15976" width="13.28515625" style="5" customWidth="1"/>
    <col min="15977" max="15977" width="12.42578125" style="5" customWidth="1"/>
    <col min="15978" max="15986" width="14.85546875" style="5" customWidth="1"/>
    <col min="15987" max="15987" width="13.140625" style="5" customWidth="1"/>
    <col min="15988" max="15988" width="13.7109375" style="5" customWidth="1"/>
    <col min="15989" max="15991" width="13.28515625" style="5" customWidth="1"/>
    <col min="15992" max="15992" width="15.7109375" style="5" customWidth="1"/>
    <col min="15993" max="15993" width="9.140625" style="5"/>
    <col min="15994" max="15994" width="10.28515625" style="5" bestFit="1" customWidth="1"/>
    <col min="15995" max="15995" width="11.5703125" style="5" bestFit="1" customWidth="1"/>
    <col min="15996" max="15996" width="9.140625" style="5" customWidth="1"/>
    <col min="15997" max="15997" width="10.42578125" style="5" customWidth="1"/>
    <col min="15998" max="15999" width="15.85546875" style="5" customWidth="1"/>
    <col min="16000" max="16001" width="16.85546875" style="5" customWidth="1"/>
    <col min="16002" max="16002" width="14.42578125" style="5" customWidth="1"/>
    <col min="16003" max="16004" width="14.28515625" style="5" customWidth="1"/>
    <col min="16005" max="16005" width="14.7109375" style="5" customWidth="1"/>
    <col min="16006" max="16006" width="15.7109375" style="5" customWidth="1"/>
    <col min="16007" max="16007" width="9.140625" style="5"/>
    <col min="16008" max="16008" width="10.28515625" style="5" bestFit="1" customWidth="1"/>
    <col min="16009" max="16009" width="9.140625" style="5"/>
    <col min="16010" max="16010" width="11.5703125" style="5" bestFit="1" customWidth="1"/>
    <col min="16011" max="16011" width="9.28515625" style="5" bestFit="1" customWidth="1"/>
    <col min="16012" max="16012" width="9.140625" style="5"/>
    <col min="16013" max="16013" width="11.7109375" style="5" customWidth="1"/>
    <col min="16014" max="16014" width="10.28515625" style="5" bestFit="1" customWidth="1"/>
    <col min="16015" max="16015" width="9.140625" style="5"/>
    <col min="16016" max="16016" width="11" style="5" bestFit="1" customWidth="1"/>
    <col min="16017" max="16017" width="10" style="5" bestFit="1" customWidth="1"/>
    <col min="16018" max="16018" width="10.28515625" style="5" bestFit="1" customWidth="1"/>
    <col min="16019" max="16019" width="9.28515625" style="5" bestFit="1" customWidth="1"/>
    <col min="16020" max="16020" width="11.28515625" style="5" bestFit="1" customWidth="1"/>
    <col min="16021" max="16021" width="9.42578125" style="5" bestFit="1" customWidth="1"/>
    <col min="16022" max="16022" width="8.140625" style="5" bestFit="1" customWidth="1"/>
    <col min="16023" max="16023" width="10" style="5" bestFit="1" customWidth="1"/>
    <col min="16024" max="16024" width="10.28515625" style="5" bestFit="1" customWidth="1"/>
    <col min="16025" max="16025" width="8.7109375" style="5" customWidth="1"/>
    <col min="16026" max="16026" width="10.28515625" style="5" bestFit="1" customWidth="1"/>
    <col min="16027" max="16027" width="11.28515625" style="5" bestFit="1" customWidth="1"/>
    <col min="16028" max="16028" width="10.85546875" style="5" bestFit="1" customWidth="1"/>
    <col min="16029" max="16029" width="9.85546875" style="5" bestFit="1" customWidth="1"/>
    <col min="16030" max="16031" width="9.140625" style="5"/>
    <col min="16032" max="16032" width="9.85546875" style="5" bestFit="1" customWidth="1"/>
    <col min="16033" max="16036" width="9.140625" style="5"/>
    <col min="16037" max="16037" width="13.5703125" style="5" bestFit="1" customWidth="1"/>
    <col min="16038" max="16038" width="10.28515625" style="5" bestFit="1" customWidth="1"/>
    <col min="16039" max="16153" width="9.140625" style="5"/>
    <col min="16154" max="16154" width="3.7109375" style="5" customWidth="1"/>
    <col min="16155" max="16155" width="26.5703125" style="5" customWidth="1"/>
    <col min="16156" max="16157" width="13.7109375" style="5" customWidth="1"/>
    <col min="16158" max="16158" width="11.42578125" style="5" customWidth="1"/>
    <col min="16159" max="16159" width="13.42578125" style="5" customWidth="1"/>
    <col min="16160" max="16160" width="11.140625" style="5" customWidth="1"/>
    <col min="16161" max="16161" width="10.28515625" style="5" customWidth="1"/>
    <col min="16162" max="16162" width="9.42578125" style="5" customWidth="1"/>
    <col min="16163" max="16163" width="8.140625" style="5" customWidth="1"/>
    <col min="16164" max="16164" width="11.42578125" style="5" customWidth="1"/>
    <col min="16165" max="16165" width="7.7109375" style="5" customWidth="1"/>
    <col min="16166" max="16166" width="9" style="5" customWidth="1"/>
    <col min="16167" max="16168" width="9.140625" style="5" customWidth="1"/>
    <col min="16169" max="16173" width="9.140625" style="5"/>
    <col min="16174" max="16174" width="9" style="5" customWidth="1"/>
    <col min="16175" max="16175" width="9.140625" style="5"/>
    <col min="16176" max="16176" width="15.140625" style="5" customWidth="1"/>
    <col min="16177" max="16185" width="9.140625" style="5"/>
    <col min="16186" max="16186" width="10.5703125" style="5" customWidth="1"/>
    <col min="16187" max="16191" width="9.140625" style="5"/>
    <col min="16192" max="16192" width="9" style="5" bestFit="1" customWidth="1"/>
    <col min="16193" max="16193" width="12.140625" style="5" customWidth="1"/>
    <col min="16194" max="16194" width="13.28515625" style="5" customWidth="1"/>
    <col min="16195" max="16195" width="9.140625" style="5"/>
    <col min="16196" max="16196" width="13.140625" style="5" customWidth="1"/>
    <col min="16197" max="16197" width="11.5703125" style="5" customWidth="1"/>
    <col min="16198" max="16198" width="15.42578125" style="5" bestFit="1" customWidth="1"/>
    <col min="16199" max="16216" width="9.140625" style="5"/>
    <col min="16217" max="16219" width="11.140625" style="5" customWidth="1"/>
    <col min="16220" max="16220" width="14.85546875" style="5" bestFit="1" customWidth="1"/>
    <col min="16221" max="16226" width="14.85546875" style="5" customWidth="1"/>
    <col min="16227" max="16230" width="11.140625" style="5" customWidth="1"/>
    <col min="16231" max="16231" width="11" style="5" customWidth="1"/>
    <col min="16232" max="16232" width="13.28515625" style="5" customWidth="1"/>
    <col min="16233" max="16233" width="12.42578125" style="5" customWidth="1"/>
    <col min="16234" max="16242" width="14.85546875" style="5" customWidth="1"/>
    <col min="16243" max="16243" width="13.140625" style="5" customWidth="1"/>
    <col min="16244" max="16244" width="13.7109375" style="5" customWidth="1"/>
    <col min="16245" max="16247" width="13.28515625" style="5" customWidth="1"/>
    <col min="16248" max="16248" width="15.7109375" style="5" customWidth="1"/>
    <col min="16249" max="16249" width="9.140625" style="5"/>
    <col min="16250" max="16250" width="10.28515625" style="5" bestFit="1" customWidth="1"/>
    <col min="16251" max="16251" width="11.5703125" style="5" bestFit="1" customWidth="1"/>
    <col min="16252" max="16252" width="9.140625" style="5" customWidth="1"/>
    <col min="16253" max="16253" width="10.42578125" style="5" customWidth="1"/>
    <col min="16254" max="16255" width="15.85546875" style="5" customWidth="1"/>
    <col min="16256" max="16257" width="16.85546875" style="5" customWidth="1"/>
    <col min="16258" max="16258" width="14.42578125" style="5" customWidth="1"/>
    <col min="16259" max="16260" width="14.28515625" style="5" customWidth="1"/>
    <col min="16261" max="16261" width="14.7109375" style="5" customWidth="1"/>
    <col min="16262" max="16262" width="15.7109375" style="5" customWidth="1"/>
    <col min="16263" max="16263" width="9.140625" style="5"/>
    <col min="16264" max="16264" width="10.28515625" style="5" bestFit="1" customWidth="1"/>
    <col min="16265" max="16265" width="9.140625" style="5"/>
    <col min="16266" max="16266" width="11.5703125" style="5" bestFit="1" customWidth="1"/>
    <col min="16267" max="16267" width="9.28515625" style="5" bestFit="1" customWidth="1"/>
    <col min="16268" max="16268" width="9.140625" style="5"/>
    <col min="16269" max="16269" width="11.7109375" style="5" customWidth="1"/>
    <col min="16270" max="16270" width="10.28515625" style="5" bestFit="1" customWidth="1"/>
    <col min="16271" max="16271" width="9.140625" style="5"/>
    <col min="16272" max="16272" width="11" style="5" bestFit="1" customWidth="1"/>
    <col min="16273" max="16273" width="10" style="5" bestFit="1" customWidth="1"/>
    <col min="16274" max="16274" width="10.28515625" style="5" bestFit="1" customWidth="1"/>
    <col min="16275" max="16275" width="9.28515625" style="5" bestFit="1" customWidth="1"/>
    <col min="16276" max="16276" width="11.28515625" style="5" bestFit="1" customWidth="1"/>
    <col min="16277" max="16277" width="9.42578125" style="5" bestFit="1" customWidth="1"/>
    <col min="16278" max="16278" width="8.140625" style="5" bestFit="1" customWidth="1"/>
    <col min="16279" max="16279" width="10" style="5" bestFit="1" customWidth="1"/>
    <col min="16280" max="16280" width="10.28515625" style="5" bestFit="1" customWidth="1"/>
    <col min="16281" max="16281" width="8.7109375" style="5" customWidth="1"/>
    <col min="16282" max="16282" width="10.28515625" style="5" bestFit="1" customWidth="1"/>
    <col min="16283" max="16283" width="11.28515625" style="5" bestFit="1" customWidth="1"/>
    <col min="16284" max="16284" width="10.85546875" style="5" bestFit="1" customWidth="1"/>
    <col min="16285" max="16285" width="9.85546875" style="5" bestFit="1" customWidth="1"/>
    <col min="16286" max="16287" width="9.140625" style="5"/>
    <col min="16288" max="16288" width="9.85546875" style="5" bestFit="1" customWidth="1"/>
    <col min="16289" max="16292" width="9.140625" style="5"/>
    <col min="16293" max="16293" width="13.5703125" style="5" bestFit="1" customWidth="1"/>
    <col min="16294" max="16294" width="10.28515625" style="5" bestFit="1" customWidth="1"/>
    <col min="16295" max="16384" width="9.140625" style="5"/>
  </cols>
  <sheetData>
    <row r="1" spans="1:204" customFormat="1" ht="15.75" thickBot="1" x14ac:dyDescent="0.3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</row>
    <row r="2" spans="1:204" ht="58.5" hidden="1" customHeight="1" x14ac:dyDescent="0.25"/>
    <row r="3" spans="1:204" ht="15.75" hidden="1" customHeight="1" x14ac:dyDescent="0.25"/>
    <row r="4" spans="1:204" ht="21" customHeight="1" x14ac:dyDescent="0.25">
      <c r="B4" s="38" t="s">
        <v>146</v>
      </c>
      <c r="C4" s="39"/>
      <c r="FM4" s="259" t="s">
        <v>0</v>
      </c>
      <c r="FN4" s="260"/>
      <c r="FO4" s="260"/>
      <c r="FP4" s="260"/>
      <c r="FQ4" s="260"/>
      <c r="FR4" s="260"/>
      <c r="FS4" s="260"/>
      <c r="FT4" s="260"/>
      <c r="FU4" s="260"/>
      <c r="FV4" s="260"/>
      <c r="FW4" s="260"/>
      <c r="FX4" s="260"/>
      <c r="FY4" s="260"/>
      <c r="FZ4" s="260"/>
      <c r="GA4" s="260"/>
      <c r="GB4" s="260"/>
      <c r="GC4" s="260"/>
      <c r="GD4" s="260"/>
      <c r="GE4" s="260"/>
      <c r="GF4" s="260"/>
      <c r="GG4" s="260"/>
      <c r="GH4" s="260"/>
      <c r="GI4" s="260"/>
      <c r="GJ4" s="260"/>
      <c r="GK4" s="260"/>
      <c r="GL4" s="260"/>
      <c r="GM4" s="260"/>
      <c r="GN4" s="260"/>
      <c r="GO4" s="260"/>
      <c r="GP4" s="260"/>
      <c r="GQ4" s="260"/>
      <c r="GR4" s="260"/>
      <c r="GS4" s="260"/>
      <c r="GT4" s="260"/>
      <c r="GU4" s="261"/>
    </row>
    <row r="5" spans="1:204" ht="16.5" thickBot="1" x14ac:dyDescent="0.3">
      <c r="B5" s="40" t="s">
        <v>143</v>
      </c>
      <c r="C5" s="40" t="s">
        <v>147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8"/>
      <c r="CL5" s="8"/>
      <c r="CM5"/>
      <c r="CN5"/>
      <c r="CO5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M5" s="262"/>
      <c r="FN5" s="263"/>
      <c r="FO5" s="263"/>
      <c r="FP5" s="263"/>
      <c r="FQ5" s="263"/>
      <c r="FR5" s="263"/>
      <c r="FS5" s="263"/>
      <c r="FT5" s="263"/>
      <c r="FU5" s="263"/>
      <c r="FV5" s="263"/>
      <c r="FW5" s="263"/>
      <c r="FX5" s="263"/>
      <c r="FY5" s="263"/>
      <c r="FZ5" s="263"/>
      <c r="GA5" s="263"/>
      <c r="GB5" s="263"/>
      <c r="GC5" s="263"/>
      <c r="GD5" s="263"/>
      <c r="GE5" s="263"/>
      <c r="GF5" s="263"/>
      <c r="GG5" s="263"/>
      <c r="GH5" s="263"/>
      <c r="GI5" s="263"/>
      <c r="GJ5" s="263"/>
      <c r="GK5" s="263"/>
      <c r="GL5" s="263"/>
      <c r="GM5" s="263"/>
      <c r="GN5" s="263"/>
      <c r="GO5" s="263"/>
      <c r="GP5" s="263"/>
      <c r="GQ5" s="263"/>
      <c r="GR5" s="263"/>
      <c r="GS5" s="263"/>
      <c r="GT5" s="263"/>
      <c r="GU5" s="264"/>
    </row>
    <row r="6" spans="1:204" s="17" customFormat="1" ht="21" customHeight="1" thickBot="1" x14ac:dyDescent="0.25">
      <c r="A6" s="9"/>
      <c r="B6" s="40" t="s">
        <v>144</v>
      </c>
      <c r="C6" s="41">
        <v>44301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268" t="s">
        <v>1</v>
      </c>
      <c r="O6" s="269"/>
      <c r="P6" s="270" t="s">
        <v>2</v>
      </c>
      <c r="Q6" s="271"/>
      <c r="R6" s="271"/>
      <c r="S6" s="272"/>
      <c r="T6" s="10"/>
      <c r="U6" s="10"/>
      <c r="V6" s="273" t="s">
        <v>3</v>
      </c>
      <c r="W6" s="274"/>
      <c r="X6" s="274"/>
      <c r="Y6" s="274"/>
      <c r="Z6" s="274"/>
      <c r="AA6" s="274"/>
      <c r="AB6" s="274"/>
      <c r="AC6" s="274"/>
      <c r="AD6" s="274"/>
      <c r="AE6" s="274"/>
      <c r="AF6" s="274"/>
      <c r="AG6" s="274"/>
      <c r="AH6" s="274"/>
      <c r="AI6" s="274"/>
      <c r="AJ6" s="274"/>
      <c r="AK6" s="275"/>
      <c r="AL6" s="10"/>
      <c r="AM6" s="10"/>
      <c r="AN6" s="276" t="s">
        <v>4</v>
      </c>
      <c r="AO6" s="277"/>
      <c r="AP6" s="277"/>
      <c r="AQ6" s="277"/>
      <c r="AR6" s="277"/>
      <c r="AS6" s="277"/>
      <c r="AT6" s="277"/>
      <c r="AU6" s="277"/>
      <c r="AV6" s="277"/>
      <c r="AW6" s="277"/>
      <c r="AX6" s="277"/>
      <c r="AY6" s="277"/>
      <c r="AZ6" s="277"/>
      <c r="BA6" s="277"/>
      <c r="BB6" s="277"/>
      <c r="BC6" s="277"/>
      <c r="BD6" s="277"/>
      <c r="BE6" s="278"/>
      <c r="BF6" s="10"/>
      <c r="BG6" s="10"/>
      <c r="BH6" s="10"/>
      <c r="BI6" s="279" t="s">
        <v>5</v>
      </c>
      <c r="BJ6" s="280"/>
      <c r="BK6" s="280"/>
      <c r="BL6" s="280"/>
      <c r="BM6" s="280"/>
      <c r="BN6" s="280"/>
      <c r="BO6" s="280"/>
      <c r="BP6" s="280"/>
      <c r="BQ6" s="280"/>
      <c r="BR6" s="281"/>
      <c r="BS6" s="282" t="s">
        <v>6</v>
      </c>
      <c r="BT6" s="283"/>
      <c r="BU6" s="283"/>
      <c r="BV6" s="283"/>
      <c r="BW6" s="283"/>
      <c r="BX6" s="283"/>
      <c r="BY6" s="284"/>
      <c r="BZ6" s="282" t="s">
        <v>7</v>
      </c>
      <c r="CA6" s="283"/>
      <c r="CB6" s="284"/>
      <c r="CC6" s="10"/>
      <c r="CD6" s="10"/>
      <c r="CE6" s="10"/>
      <c r="CF6" s="10"/>
      <c r="CG6" s="10"/>
      <c r="CH6" s="10"/>
      <c r="CI6" s="10"/>
      <c r="CJ6" s="10"/>
      <c r="CK6" s="11"/>
      <c r="CL6" s="11"/>
      <c r="CM6" s="11"/>
      <c r="CN6" s="285" t="s">
        <v>8</v>
      </c>
      <c r="CO6" s="286"/>
      <c r="CP6" s="286"/>
      <c r="CQ6" s="286"/>
      <c r="CR6" s="286"/>
      <c r="CS6" s="286"/>
      <c r="CT6" s="286"/>
      <c r="CU6" s="286"/>
      <c r="CV6" s="286"/>
      <c r="CW6" s="286"/>
      <c r="CX6" s="287"/>
      <c r="CY6" s="12"/>
      <c r="CZ6" s="288" t="s">
        <v>9</v>
      </c>
      <c r="DA6" s="289"/>
      <c r="DB6" s="289"/>
      <c r="DC6" s="289"/>
      <c r="DD6" s="289"/>
      <c r="DE6" s="289"/>
      <c r="DF6" s="289"/>
      <c r="DG6" s="289"/>
      <c r="DH6" s="290"/>
      <c r="DI6" s="13"/>
      <c r="DJ6" s="13"/>
      <c r="DK6" s="13"/>
      <c r="DL6" s="13"/>
      <c r="DM6" s="13"/>
      <c r="DN6" s="13"/>
      <c r="DO6" s="13"/>
      <c r="DP6" s="13"/>
      <c r="DQ6" s="13"/>
      <c r="DR6" s="14"/>
      <c r="DS6" s="14"/>
      <c r="DT6" s="10"/>
      <c r="DU6" s="10"/>
      <c r="DV6" s="276" t="s">
        <v>10</v>
      </c>
      <c r="DW6" s="277"/>
      <c r="DX6" s="278"/>
      <c r="DY6" s="10"/>
      <c r="DZ6" s="10"/>
      <c r="EA6" s="15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M6" s="265"/>
      <c r="FN6" s="266"/>
      <c r="FO6" s="266"/>
      <c r="FP6" s="266"/>
      <c r="FQ6" s="266"/>
      <c r="FR6" s="266"/>
      <c r="FS6" s="266"/>
      <c r="FT6" s="266"/>
      <c r="FU6" s="266"/>
      <c r="FV6" s="266"/>
      <c r="FW6" s="266"/>
      <c r="FX6" s="266"/>
      <c r="FY6" s="266"/>
      <c r="FZ6" s="266"/>
      <c r="GA6" s="266"/>
      <c r="GB6" s="266"/>
      <c r="GC6" s="266"/>
      <c r="GD6" s="266"/>
      <c r="GE6" s="266"/>
      <c r="GF6" s="266"/>
      <c r="GG6" s="266"/>
      <c r="GH6" s="266"/>
      <c r="GI6" s="266"/>
      <c r="GJ6" s="266"/>
      <c r="GK6" s="266"/>
      <c r="GL6" s="266"/>
      <c r="GM6" s="266"/>
      <c r="GN6" s="266"/>
      <c r="GO6" s="266"/>
      <c r="GP6" s="266"/>
      <c r="GQ6" s="266"/>
      <c r="GR6" s="266"/>
      <c r="GS6" s="266"/>
      <c r="GT6" s="266"/>
      <c r="GU6" s="267"/>
    </row>
    <row r="7" spans="1:204" s="78" customFormat="1" ht="33" customHeight="1" thickBot="1" x14ac:dyDescent="0.55000000000000004">
      <c r="A7" s="79"/>
      <c r="B7" s="80"/>
      <c r="C7" s="80"/>
      <c r="D7" s="80"/>
      <c r="E7" s="80"/>
      <c r="F7" s="80"/>
      <c r="G7" s="80"/>
      <c r="H7" s="80"/>
      <c r="I7" s="68"/>
      <c r="J7" s="69"/>
      <c r="K7" s="69"/>
      <c r="L7" s="69"/>
      <c r="M7" s="69"/>
      <c r="N7" s="292" t="s">
        <v>11</v>
      </c>
      <c r="O7" s="292"/>
      <c r="P7" s="293" t="s">
        <v>12</v>
      </c>
      <c r="Q7" s="293"/>
      <c r="R7" s="293" t="s">
        <v>13</v>
      </c>
      <c r="S7" s="293"/>
      <c r="T7" s="293" t="s">
        <v>14</v>
      </c>
      <c r="U7" s="293"/>
      <c r="V7" s="294" t="s">
        <v>15</v>
      </c>
      <c r="W7" s="294"/>
      <c r="X7" s="295" t="s">
        <v>16</v>
      </c>
      <c r="Y7" s="295"/>
      <c r="Z7" s="296" t="s">
        <v>17</v>
      </c>
      <c r="AA7" s="296"/>
      <c r="AB7" s="297" t="s">
        <v>18</v>
      </c>
      <c r="AC7" s="297"/>
      <c r="AD7" s="297" t="s">
        <v>19</v>
      </c>
      <c r="AE7" s="297"/>
      <c r="AF7" s="297" t="s">
        <v>20</v>
      </c>
      <c r="AG7" s="297"/>
      <c r="AH7" s="297" t="s">
        <v>21</v>
      </c>
      <c r="AI7" s="297"/>
      <c r="AJ7" s="295" t="s">
        <v>22</v>
      </c>
      <c r="AK7" s="295"/>
      <c r="AL7" s="298" t="s">
        <v>23</v>
      </c>
      <c r="AM7" s="298"/>
      <c r="AN7" s="293" t="s">
        <v>24</v>
      </c>
      <c r="AO7" s="293"/>
      <c r="AP7" s="291" t="s">
        <v>25</v>
      </c>
      <c r="AQ7" s="291"/>
      <c r="AR7" s="291" t="s">
        <v>26</v>
      </c>
      <c r="AS7" s="291"/>
      <c r="AT7" s="299" t="s">
        <v>27</v>
      </c>
      <c r="AU7" s="299"/>
      <c r="AV7" s="299" t="s">
        <v>28</v>
      </c>
      <c r="AW7" s="299"/>
      <c r="AX7" s="300" t="s">
        <v>29</v>
      </c>
      <c r="AY7" s="300"/>
      <c r="AZ7" s="300" t="s">
        <v>30</v>
      </c>
      <c r="BA7" s="300"/>
      <c r="BB7" s="300" t="s">
        <v>31</v>
      </c>
      <c r="BC7" s="300"/>
      <c r="BD7" s="291" t="s">
        <v>32</v>
      </c>
      <c r="BE7" s="291"/>
      <c r="BF7" s="292" t="s">
        <v>33</v>
      </c>
      <c r="BG7" s="292"/>
      <c r="BH7" s="70" t="s">
        <v>34</v>
      </c>
      <c r="BI7" s="293" t="s">
        <v>35</v>
      </c>
      <c r="BJ7" s="293"/>
      <c r="BK7" s="293" t="s">
        <v>36</v>
      </c>
      <c r="BL7" s="293"/>
      <c r="BM7" s="293" t="s">
        <v>37</v>
      </c>
      <c r="BN7" s="293"/>
      <c r="BO7" s="293" t="s">
        <v>38</v>
      </c>
      <c r="BP7" s="293"/>
      <c r="BQ7" s="291" t="s">
        <v>39</v>
      </c>
      <c r="BR7" s="303"/>
      <c r="BS7" s="304" t="s">
        <v>40</v>
      </c>
      <c r="BT7" s="304" t="s">
        <v>41</v>
      </c>
      <c r="BU7" s="306" t="s">
        <v>42</v>
      </c>
      <c r="BV7" s="306" t="s">
        <v>43</v>
      </c>
      <c r="BW7" s="306" t="s">
        <v>44</v>
      </c>
      <c r="BX7" s="306" t="s">
        <v>45</v>
      </c>
      <c r="BY7" s="306" t="s">
        <v>46</v>
      </c>
      <c r="BZ7" s="306" t="s">
        <v>47</v>
      </c>
      <c r="CA7" s="306" t="s">
        <v>47</v>
      </c>
      <c r="CB7" s="306" t="s">
        <v>47</v>
      </c>
      <c r="CC7" s="301" t="s">
        <v>48</v>
      </c>
      <c r="CD7" s="311" t="s">
        <v>49</v>
      </c>
      <c r="CE7" s="312"/>
      <c r="CF7" s="313" t="s">
        <v>50</v>
      </c>
      <c r="CG7" s="314"/>
      <c r="CH7" s="311" t="s">
        <v>51</v>
      </c>
      <c r="CI7" s="312"/>
      <c r="CJ7" s="306" t="s">
        <v>52</v>
      </c>
      <c r="CK7" s="315" t="s">
        <v>53</v>
      </c>
      <c r="CL7" s="316"/>
      <c r="CM7" s="317"/>
      <c r="CN7" s="71" t="s">
        <v>54</v>
      </c>
      <c r="CO7" s="72" t="s">
        <v>55</v>
      </c>
      <c r="CP7" s="72" t="s">
        <v>56</v>
      </c>
      <c r="CQ7" s="72" t="s">
        <v>57</v>
      </c>
      <c r="CR7" s="300" t="s">
        <v>58</v>
      </c>
      <c r="CS7" s="300" t="s">
        <v>59</v>
      </c>
      <c r="CT7" s="300" t="s">
        <v>60</v>
      </c>
      <c r="CU7" s="72" t="s">
        <v>61</v>
      </c>
      <c r="CV7" s="73" t="s">
        <v>62</v>
      </c>
      <c r="CW7" s="73" t="s">
        <v>63</v>
      </c>
      <c r="CX7" s="73" t="s">
        <v>64</v>
      </c>
      <c r="CY7" s="291" t="s">
        <v>65</v>
      </c>
      <c r="CZ7" s="320" t="s">
        <v>66</v>
      </c>
      <c r="DA7" s="301"/>
      <c r="DB7" s="321"/>
      <c r="DC7" s="74"/>
      <c r="DD7" s="320" t="s">
        <v>67</v>
      </c>
      <c r="DE7" s="301"/>
      <c r="DF7" s="301"/>
      <c r="DG7" s="321"/>
      <c r="DH7" s="75"/>
      <c r="DI7" s="308" t="s">
        <v>68</v>
      </c>
      <c r="DJ7" s="309"/>
      <c r="DK7" s="309"/>
      <c r="DL7" s="309"/>
      <c r="DM7" s="309"/>
      <c r="DN7" s="310"/>
      <c r="DO7" s="325" t="s">
        <v>69</v>
      </c>
      <c r="DP7" s="327" t="s">
        <v>70</v>
      </c>
      <c r="DQ7" s="327" t="s">
        <v>71</v>
      </c>
      <c r="DR7" s="327" t="s">
        <v>72</v>
      </c>
      <c r="DS7" s="329" t="s">
        <v>73</v>
      </c>
      <c r="DT7" s="331" t="s">
        <v>74</v>
      </c>
      <c r="DU7" s="331" t="s">
        <v>75</v>
      </c>
      <c r="DV7" s="72" t="s">
        <v>76</v>
      </c>
      <c r="DW7" s="72" t="s">
        <v>77</v>
      </c>
      <c r="DX7" s="72" t="s">
        <v>78</v>
      </c>
      <c r="DY7" s="331" t="s">
        <v>79</v>
      </c>
      <c r="DZ7" s="333" t="s">
        <v>80</v>
      </c>
      <c r="EA7" s="68"/>
      <c r="EB7" s="76"/>
      <c r="EC7" s="76"/>
      <c r="ED7" s="335" t="s">
        <v>81</v>
      </c>
      <c r="EE7" s="336"/>
      <c r="EF7" s="336"/>
      <c r="EG7" s="336"/>
      <c r="EH7" s="336"/>
      <c r="EI7" s="336"/>
      <c r="EJ7" s="336"/>
      <c r="EK7" s="336"/>
      <c r="EL7" s="336"/>
      <c r="EM7" s="337" t="s">
        <v>82</v>
      </c>
      <c r="EN7" s="76"/>
      <c r="EO7" s="322" t="s">
        <v>83</v>
      </c>
      <c r="EP7" s="323"/>
      <c r="EQ7" s="323"/>
      <c r="ER7" s="323"/>
      <c r="ES7" s="324"/>
      <c r="ET7" s="76"/>
      <c r="EU7" s="76"/>
      <c r="EV7" s="342" t="s">
        <v>84</v>
      </c>
      <c r="EW7" s="343"/>
      <c r="EX7" s="343"/>
      <c r="EY7" s="343"/>
      <c r="EZ7" s="343"/>
      <c r="FA7" s="344"/>
      <c r="FB7" s="345" t="s">
        <v>85</v>
      </c>
      <c r="FC7" s="346"/>
      <c r="FD7" s="346"/>
      <c r="FE7" s="346"/>
      <c r="FF7" s="346"/>
      <c r="FG7" s="346"/>
      <c r="FH7" s="347"/>
      <c r="FI7" s="77"/>
      <c r="FJ7" s="76"/>
      <c r="FM7" s="76"/>
      <c r="FN7" s="76"/>
      <c r="FO7" s="348" t="s">
        <v>81</v>
      </c>
      <c r="FP7" s="349"/>
      <c r="FQ7" s="349"/>
      <c r="FR7" s="349"/>
      <c r="FS7" s="349"/>
      <c r="FT7" s="349"/>
      <c r="FU7" s="349"/>
      <c r="FV7" s="349"/>
      <c r="FW7" s="349"/>
      <c r="FX7" s="338" t="s">
        <v>82</v>
      </c>
      <c r="FY7" s="76"/>
      <c r="FZ7" s="350" t="s">
        <v>83</v>
      </c>
      <c r="GA7" s="351"/>
      <c r="GB7" s="351"/>
      <c r="GC7" s="351"/>
      <c r="GD7" s="352"/>
      <c r="GE7" s="76"/>
      <c r="GF7" s="76"/>
      <c r="GG7" s="353" t="s">
        <v>84</v>
      </c>
      <c r="GH7" s="354"/>
      <c r="GI7" s="354"/>
      <c r="GJ7" s="354"/>
      <c r="GK7" s="354"/>
      <c r="GL7" s="355"/>
      <c r="GM7" s="339" t="s">
        <v>85</v>
      </c>
      <c r="GN7" s="340"/>
      <c r="GO7" s="340"/>
      <c r="GP7" s="340"/>
      <c r="GQ7" s="340"/>
      <c r="GR7" s="340"/>
      <c r="GS7" s="341"/>
      <c r="GT7" s="77"/>
      <c r="GU7" s="76"/>
    </row>
    <row r="8" spans="1:204" s="66" customFormat="1" ht="27" customHeight="1" thickBot="1" x14ac:dyDescent="0.3">
      <c r="A8" s="42" t="s">
        <v>86</v>
      </c>
      <c r="B8" s="43" t="s">
        <v>87</v>
      </c>
      <c r="C8" s="43" t="s">
        <v>88</v>
      </c>
      <c r="D8" s="43" t="s">
        <v>89</v>
      </c>
      <c r="E8" s="43" t="s">
        <v>90</v>
      </c>
      <c r="F8" s="43" t="s">
        <v>91</v>
      </c>
      <c r="G8" s="43" t="s">
        <v>92</v>
      </c>
      <c r="H8" s="43" t="s">
        <v>93</v>
      </c>
      <c r="I8" s="43" t="s">
        <v>94</v>
      </c>
      <c r="J8" s="43" t="s">
        <v>95</v>
      </c>
      <c r="K8" s="43" t="s">
        <v>96</v>
      </c>
      <c r="L8" s="43" t="s">
        <v>97</v>
      </c>
      <c r="M8" s="44" t="s">
        <v>98</v>
      </c>
      <c r="N8" s="45" t="s">
        <v>99</v>
      </c>
      <c r="O8" s="45" t="s">
        <v>100</v>
      </c>
      <c r="P8" s="45" t="s">
        <v>99</v>
      </c>
      <c r="Q8" s="45" t="s">
        <v>100</v>
      </c>
      <c r="R8" s="45" t="s">
        <v>99</v>
      </c>
      <c r="S8" s="45" t="s">
        <v>100</v>
      </c>
      <c r="T8" s="45" t="s">
        <v>99</v>
      </c>
      <c r="U8" s="43" t="s">
        <v>100</v>
      </c>
      <c r="V8" s="46" t="s">
        <v>101</v>
      </c>
      <c r="W8" s="46" t="s">
        <v>100</v>
      </c>
      <c r="X8" s="46" t="s">
        <v>101</v>
      </c>
      <c r="Y8" s="46" t="s">
        <v>100</v>
      </c>
      <c r="Z8" s="47" t="s">
        <v>101</v>
      </c>
      <c r="AA8" s="48" t="s">
        <v>100</v>
      </c>
      <c r="AB8" s="48" t="s">
        <v>101</v>
      </c>
      <c r="AC8" s="48" t="s">
        <v>100</v>
      </c>
      <c r="AD8" s="48" t="s">
        <v>101</v>
      </c>
      <c r="AE8" s="48" t="s">
        <v>100</v>
      </c>
      <c r="AF8" s="48" t="s">
        <v>101</v>
      </c>
      <c r="AG8" s="48" t="s">
        <v>100</v>
      </c>
      <c r="AH8" s="48" t="s">
        <v>101</v>
      </c>
      <c r="AI8" s="48" t="s">
        <v>100</v>
      </c>
      <c r="AJ8" s="48" t="s">
        <v>101</v>
      </c>
      <c r="AK8" s="48" t="s">
        <v>100</v>
      </c>
      <c r="AL8" s="49" t="s">
        <v>99</v>
      </c>
      <c r="AM8" s="50" t="s">
        <v>100</v>
      </c>
      <c r="AN8" s="49" t="s">
        <v>99</v>
      </c>
      <c r="AO8" s="50" t="s">
        <v>100</v>
      </c>
      <c r="AP8" s="49" t="s">
        <v>99</v>
      </c>
      <c r="AQ8" s="50" t="s">
        <v>100</v>
      </c>
      <c r="AR8" s="49" t="s">
        <v>99</v>
      </c>
      <c r="AS8" s="50" t="s">
        <v>100</v>
      </c>
      <c r="AT8" s="49" t="s">
        <v>99</v>
      </c>
      <c r="AU8" s="50" t="s">
        <v>100</v>
      </c>
      <c r="AV8" s="49" t="s">
        <v>99</v>
      </c>
      <c r="AW8" s="50" t="s">
        <v>100</v>
      </c>
      <c r="AX8" s="49" t="s">
        <v>99</v>
      </c>
      <c r="AY8" s="50" t="s">
        <v>100</v>
      </c>
      <c r="AZ8" s="49" t="s">
        <v>99</v>
      </c>
      <c r="BA8" s="50" t="s">
        <v>100</v>
      </c>
      <c r="BB8" s="49" t="s">
        <v>99</v>
      </c>
      <c r="BC8" s="50" t="s">
        <v>100</v>
      </c>
      <c r="BD8" s="49" t="s">
        <v>99</v>
      </c>
      <c r="BE8" s="50" t="s">
        <v>100</v>
      </c>
      <c r="BF8" s="49" t="s">
        <v>99</v>
      </c>
      <c r="BG8" s="50" t="s">
        <v>100</v>
      </c>
      <c r="BH8" s="50" t="s">
        <v>100</v>
      </c>
      <c r="BI8" s="49" t="s">
        <v>102</v>
      </c>
      <c r="BJ8" s="49" t="s">
        <v>103</v>
      </c>
      <c r="BK8" s="49" t="s">
        <v>102</v>
      </c>
      <c r="BL8" s="49" t="s">
        <v>103</v>
      </c>
      <c r="BM8" s="49" t="s">
        <v>102</v>
      </c>
      <c r="BN8" s="49" t="s">
        <v>103</v>
      </c>
      <c r="BO8" s="49" t="s">
        <v>102</v>
      </c>
      <c r="BP8" s="49" t="s">
        <v>103</v>
      </c>
      <c r="BQ8" s="49" t="s">
        <v>102</v>
      </c>
      <c r="BR8" s="51" t="s">
        <v>103</v>
      </c>
      <c r="BS8" s="305"/>
      <c r="BT8" s="305"/>
      <c r="BU8" s="307"/>
      <c r="BV8" s="307"/>
      <c r="BW8" s="307"/>
      <c r="BX8" s="307"/>
      <c r="BY8" s="307"/>
      <c r="BZ8" s="307"/>
      <c r="CA8" s="307"/>
      <c r="CB8" s="307"/>
      <c r="CC8" s="302"/>
      <c r="CD8" s="43" t="s">
        <v>99</v>
      </c>
      <c r="CE8" s="43" t="s">
        <v>100</v>
      </c>
      <c r="CF8" s="43" t="s">
        <v>99</v>
      </c>
      <c r="CG8" s="43" t="s">
        <v>100</v>
      </c>
      <c r="CH8" s="43" t="s">
        <v>104</v>
      </c>
      <c r="CI8" s="43" t="s">
        <v>100</v>
      </c>
      <c r="CJ8" s="307"/>
      <c r="CK8" s="43" t="s">
        <v>105</v>
      </c>
      <c r="CL8" s="43" t="s">
        <v>106</v>
      </c>
      <c r="CM8" s="43" t="s">
        <v>107</v>
      </c>
      <c r="CN8" s="52">
        <v>0</v>
      </c>
      <c r="CO8" s="53">
        <v>0</v>
      </c>
      <c r="CP8" s="53">
        <v>0</v>
      </c>
      <c r="CQ8" s="53">
        <v>0</v>
      </c>
      <c r="CR8" s="318"/>
      <c r="CS8" s="318"/>
      <c r="CT8" s="318"/>
      <c r="CU8" s="53">
        <v>0</v>
      </c>
      <c r="CV8" s="53">
        <v>0</v>
      </c>
      <c r="CW8" s="53">
        <v>0</v>
      </c>
      <c r="CX8" s="53">
        <v>0</v>
      </c>
      <c r="CY8" s="319"/>
      <c r="CZ8" s="54" t="s">
        <v>108</v>
      </c>
      <c r="DA8" s="54" t="s">
        <v>109</v>
      </c>
      <c r="DB8" s="55" t="s">
        <v>110</v>
      </c>
      <c r="DC8" s="55" t="s">
        <v>111</v>
      </c>
      <c r="DD8" s="56" t="s">
        <v>112</v>
      </c>
      <c r="DE8" s="55" t="s">
        <v>145</v>
      </c>
      <c r="DF8" s="55" t="s">
        <v>113</v>
      </c>
      <c r="DG8" s="55" t="s">
        <v>114</v>
      </c>
      <c r="DH8" s="57" t="s">
        <v>111</v>
      </c>
      <c r="DI8" s="58" t="s">
        <v>115</v>
      </c>
      <c r="DJ8" s="49" t="s">
        <v>116</v>
      </c>
      <c r="DK8" s="49" t="s">
        <v>117</v>
      </c>
      <c r="DL8" s="49" t="s">
        <v>108</v>
      </c>
      <c r="DM8" s="49" t="s">
        <v>109</v>
      </c>
      <c r="DN8" s="59" t="s">
        <v>118</v>
      </c>
      <c r="DO8" s="326"/>
      <c r="DP8" s="328"/>
      <c r="DQ8" s="328"/>
      <c r="DR8" s="328"/>
      <c r="DS8" s="330"/>
      <c r="DT8" s="332"/>
      <c r="DU8" s="332"/>
      <c r="DV8" s="53">
        <v>0</v>
      </c>
      <c r="DW8" s="53">
        <v>0</v>
      </c>
      <c r="DX8" s="53">
        <v>0</v>
      </c>
      <c r="DY8" s="332"/>
      <c r="DZ8" s="334"/>
      <c r="EA8" s="60"/>
      <c r="EB8" s="61" t="s">
        <v>98</v>
      </c>
      <c r="EC8" s="61" t="s">
        <v>119</v>
      </c>
      <c r="ED8" s="61" t="s">
        <v>120</v>
      </c>
      <c r="EE8" s="61" t="s">
        <v>121</v>
      </c>
      <c r="EF8" s="61" t="s">
        <v>122</v>
      </c>
      <c r="EG8" s="61" t="s">
        <v>123</v>
      </c>
      <c r="EH8" s="61" t="s">
        <v>41</v>
      </c>
      <c r="EI8" s="61" t="s">
        <v>124</v>
      </c>
      <c r="EJ8" s="61" t="s">
        <v>125</v>
      </c>
      <c r="EK8" s="62" t="s">
        <v>126</v>
      </c>
      <c r="EL8" s="63" t="s">
        <v>127</v>
      </c>
      <c r="EM8" s="338"/>
      <c r="EN8" s="64" t="s">
        <v>128</v>
      </c>
      <c r="EO8" s="62" t="s">
        <v>120</v>
      </c>
      <c r="EP8" s="62" t="s">
        <v>129</v>
      </c>
      <c r="EQ8" s="62" t="s">
        <v>126</v>
      </c>
      <c r="ER8" s="62" t="s">
        <v>41</v>
      </c>
      <c r="ES8" s="62" t="s">
        <v>127</v>
      </c>
      <c r="ET8" s="62" t="s">
        <v>128</v>
      </c>
      <c r="EU8" s="62" t="s">
        <v>130</v>
      </c>
      <c r="EV8" s="62" t="s">
        <v>131</v>
      </c>
      <c r="EW8" s="65" t="s">
        <v>115</v>
      </c>
      <c r="EX8" s="62" t="s">
        <v>132</v>
      </c>
      <c r="EY8" s="62" t="s">
        <v>133</v>
      </c>
      <c r="EZ8" s="62" t="s">
        <v>134</v>
      </c>
      <c r="FA8" s="62" t="s">
        <v>127</v>
      </c>
      <c r="FB8" s="62" t="s">
        <v>108</v>
      </c>
      <c r="FC8" s="65" t="s">
        <v>109</v>
      </c>
      <c r="FD8" s="62" t="s">
        <v>135</v>
      </c>
      <c r="FE8" s="62" t="s">
        <v>136</v>
      </c>
      <c r="FF8" s="62" t="s">
        <v>137</v>
      </c>
      <c r="FG8" s="62" t="s">
        <v>138</v>
      </c>
      <c r="FH8" s="62" t="s">
        <v>139</v>
      </c>
      <c r="FI8" s="62" t="s">
        <v>140</v>
      </c>
      <c r="FJ8" s="62" t="s">
        <v>79</v>
      </c>
      <c r="FM8" s="61" t="s">
        <v>98</v>
      </c>
      <c r="FN8" s="61" t="s">
        <v>119</v>
      </c>
      <c r="FO8" s="61" t="s">
        <v>120</v>
      </c>
      <c r="FP8" s="61" t="s">
        <v>121</v>
      </c>
      <c r="FQ8" s="61" t="s">
        <v>122</v>
      </c>
      <c r="FR8" s="61" t="s">
        <v>123</v>
      </c>
      <c r="FS8" s="61" t="s">
        <v>41</v>
      </c>
      <c r="FT8" s="61" t="s">
        <v>124</v>
      </c>
      <c r="FU8" s="61" t="s">
        <v>125</v>
      </c>
      <c r="FV8" s="62" t="s">
        <v>126</v>
      </c>
      <c r="FW8" s="62" t="s">
        <v>127</v>
      </c>
      <c r="FX8" s="338"/>
      <c r="FY8" s="67" t="s">
        <v>128</v>
      </c>
      <c r="FZ8" s="62" t="s">
        <v>120</v>
      </c>
      <c r="GA8" s="62" t="s">
        <v>129</v>
      </c>
      <c r="GB8" s="62" t="s">
        <v>126</v>
      </c>
      <c r="GC8" s="62" t="s">
        <v>41</v>
      </c>
      <c r="GD8" s="62" t="s">
        <v>127</v>
      </c>
      <c r="GE8" s="62" t="s">
        <v>128</v>
      </c>
      <c r="GF8" s="62" t="s">
        <v>130</v>
      </c>
      <c r="GG8" s="62" t="s">
        <v>131</v>
      </c>
      <c r="GH8" s="65" t="s">
        <v>115</v>
      </c>
      <c r="GI8" s="62" t="s">
        <v>132</v>
      </c>
      <c r="GJ8" s="62" t="s">
        <v>133</v>
      </c>
      <c r="GK8" s="62" t="s">
        <v>134</v>
      </c>
      <c r="GL8" s="62" t="s">
        <v>127</v>
      </c>
      <c r="GM8" s="62" t="s">
        <v>108</v>
      </c>
      <c r="GN8" s="65" t="s">
        <v>109</v>
      </c>
      <c r="GO8" s="62" t="s">
        <v>135</v>
      </c>
      <c r="GP8" s="62" t="s">
        <v>136</v>
      </c>
      <c r="GQ8" s="62" t="s">
        <v>137</v>
      </c>
      <c r="GR8" s="62" t="s">
        <v>138</v>
      </c>
      <c r="GS8" s="62" t="s">
        <v>139</v>
      </c>
      <c r="GT8" s="62" t="s">
        <v>140</v>
      </c>
      <c r="GU8" s="62" t="s">
        <v>79</v>
      </c>
    </row>
    <row r="9" spans="1:204" ht="15.75" customHeight="1" thickBot="1" x14ac:dyDescent="0.3">
      <c r="A9" s="18">
        <f>ROW()-8</f>
        <v>1</v>
      </c>
      <c r="B9" s="19" t="s">
        <v>148</v>
      </c>
      <c r="C9" s="37" t="s">
        <v>159</v>
      </c>
      <c r="D9" s="20" t="s">
        <v>141</v>
      </c>
      <c r="E9" s="37" t="s">
        <v>160</v>
      </c>
      <c r="F9" s="19" t="s">
        <v>142</v>
      </c>
      <c r="G9" s="19">
        <v>12000</v>
      </c>
      <c r="H9" s="21">
        <f t="shared" ref="H9:H18" si="0">IF(I9=0,G9/2,0)</f>
        <v>6000</v>
      </c>
      <c r="I9" s="19"/>
      <c r="J9" s="21">
        <v>461.53846153846155</v>
      </c>
      <c r="K9" s="21">
        <f>J9/8</f>
        <v>57.692307692307693</v>
      </c>
      <c r="L9" s="21">
        <f>K9/60</f>
        <v>0.96153846153846156</v>
      </c>
      <c r="M9" s="21">
        <f>H9+(I9*J9)</f>
        <v>6000</v>
      </c>
      <c r="N9" s="19"/>
      <c r="O9" s="21">
        <f t="shared" ref="O9:O18" si="1">(K9*1.25)*N9</f>
        <v>0</v>
      </c>
      <c r="P9" s="19"/>
      <c r="Q9" s="21">
        <f t="shared" ref="Q9:Q18" si="2">(K9*1.3)*P9</f>
        <v>0</v>
      </c>
      <c r="R9" s="19"/>
      <c r="S9" s="21">
        <f t="shared" ref="S9:S18" si="3">(K9*1.69)*R9</f>
        <v>0</v>
      </c>
      <c r="T9" s="21">
        <f>P9+R9</f>
        <v>0</v>
      </c>
      <c r="U9" s="21">
        <f>+Q9+S9</f>
        <v>0</v>
      </c>
      <c r="V9" s="19"/>
      <c r="W9" s="21">
        <f t="shared" ref="W9:W18" si="4">(K9*0.3)*V9</f>
        <v>0</v>
      </c>
      <c r="X9" s="19"/>
      <c r="Y9" s="21">
        <f t="shared" ref="Y9:Y18" si="5">(K9*1.69)*X9</f>
        <v>0</v>
      </c>
      <c r="Z9" s="19"/>
      <c r="AA9" s="21">
        <f t="shared" ref="AA9:AA18" si="6">(K9*0.5)*Z9</f>
        <v>0</v>
      </c>
      <c r="AB9" s="19"/>
      <c r="AC9" s="21">
        <f t="shared" ref="AC9:AC18" si="7">(K9*1.95)*AB9</f>
        <v>0</v>
      </c>
      <c r="AD9" s="19"/>
      <c r="AE9" s="21">
        <f t="shared" ref="AE9:AE18" si="8">K9*AD9</f>
        <v>0</v>
      </c>
      <c r="AF9" s="19"/>
      <c r="AG9" s="21">
        <f t="shared" ref="AG9:AG18" si="9">(K9*2.6)*AF9</f>
        <v>0</v>
      </c>
      <c r="AH9" s="19"/>
      <c r="AI9" s="21">
        <f t="shared" ref="AI9:AI18" si="10">(K9*2.6)*AH9</f>
        <v>0</v>
      </c>
      <c r="AJ9" s="19"/>
      <c r="AK9" s="21">
        <f t="shared" ref="AK9:AK18" si="11">(K9*3.38)*AJ9</f>
        <v>0</v>
      </c>
      <c r="AL9" s="21">
        <f>V9+X9+Z9+AB9+AD9+AF9+AH9+AJ9</f>
        <v>0</v>
      </c>
      <c r="AM9" s="21">
        <f>W9+Y9+AA9+AC9+AE9+AG9+AI9+AK9</f>
        <v>0</v>
      </c>
      <c r="AN9" s="19"/>
      <c r="AO9" s="21">
        <f t="shared" ref="AO9:AO18" si="12">(K9*0.1)*AN9</f>
        <v>0</v>
      </c>
      <c r="AP9" s="19"/>
      <c r="AQ9" s="21">
        <f t="shared" ref="AQ9:AQ18" si="13">((K9*1.25)*0.1)*AP9</f>
        <v>0</v>
      </c>
      <c r="AR9" s="19"/>
      <c r="AS9" s="21">
        <f t="shared" ref="AS9:AS18" si="14">((K9*2)*0.1)*AR9</f>
        <v>0</v>
      </c>
      <c r="AT9" s="19"/>
      <c r="AU9" s="21">
        <f t="shared" ref="AU9:AU18" si="15">((K9*2.6)*0.1)*AT9</f>
        <v>0</v>
      </c>
      <c r="AV9" s="19"/>
      <c r="AW9" s="21">
        <f t="shared" ref="AW9:AW18" si="16">((K9*3.38)*0.1)*AV9</f>
        <v>0</v>
      </c>
      <c r="AX9" s="19"/>
      <c r="AY9" s="21">
        <f t="shared" ref="AY9:AY18" si="17">((K9*1.3)*0.1)*AX9</f>
        <v>0</v>
      </c>
      <c r="AZ9" s="19"/>
      <c r="BA9" s="21">
        <f t="shared" ref="BA9:BA18" si="18">((K9*1.69)*0.1)*AZ9</f>
        <v>0</v>
      </c>
      <c r="BB9" s="19"/>
      <c r="BC9" s="21">
        <f t="shared" ref="BC9:BC18" si="19">((K9*1.5)*0.1)*BB9</f>
        <v>0</v>
      </c>
      <c r="BD9" s="19"/>
      <c r="BE9" s="21">
        <f t="shared" ref="BE9:BE18" si="20">((K9*1.95)*0.1)*BD9</f>
        <v>0</v>
      </c>
      <c r="BF9" s="21">
        <f>AN9+AP9+AR9+AT9+AV9+AX9+AZ9+BB9+BD9</f>
        <v>0</v>
      </c>
      <c r="BG9" s="21">
        <f>AO9+AQ9+AS9+AU9+AW9+AY9+BA9+BC9+BE9</f>
        <v>0</v>
      </c>
      <c r="BH9" s="19"/>
      <c r="BI9" s="21">
        <f>IFERROR(VLOOKUP(B9,'[1]Mar1 Payroll'!$B$9:$FJ$68,66,FALSE),)</f>
        <v>0</v>
      </c>
      <c r="BJ9" s="21">
        <f>IFERROR(VLOOKUP(B9,'[1]Mar1 Payroll'!$B$9:$FJ$68,67,FALSE),)</f>
        <v>0</v>
      </c>
      <c r="BK9" s="19"/>
      <c r="BL9" s="19"/>
      <c r="BM9" s="19"/>
      <c r="BN9" s="19"/>
      <c r="BO9" s="21">
        <f>BI9+BK9-BM9</f>
        <v>0</v>
      </c>
      <c r="BP9" s="21">
        <f>BJ9+BL9-BN9</f>
        <v>0</v>
      </c>
      <c r="BQ9" s="21">
        <f>IFERROR(IF(I9&gt;1,J9*BM9,),)</f>
        <v>0</v>
      </c>
      <c r="BR9" s="21">
        <f>IFERROR(IF(I9&gt;1,J9*BN9,),)</f>
        <v>0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22">
        <f>M9+O9+U9+AM9+BG9+BH9+BS9+BT9+BU9+BV9+BW9+BX9+BY9+CB9+BR9+BQ9</f>
        <v>6000</v>
      </c>
      <c r="CD9" s="19"/>
      <c r="CE9" s="21">
        <f t="shared" ref="CE9:CE18" si="21">-K9*CD9</f>
        <v>0</v>
      </c>
      <c r="CF9" s="23"/>
      <c r="CG9" s="21">
        <f>-L9*CF9</f>
        <v>0</v>
      </c>
      <c r="CH9" s="19"/>
      <c r="CI9" s="21">
        <f t="shared" ref="CI9:CI18" si="22">-J9*CH9</f>
        <v>0</v>
      </c>
      <c r="CJ9" s="21">
        <f>CE9+CI9+CG9</f>
        <v>0</v>
      </c>
      <c r="CK9" s="24" t="str">
        <f>_xlfn.IFNA(VLOOKUP(B9,'[1]201'!$E$7:$H$66,2,FALSE),"")</f>
        <v/>
      </c>
      <c r="CL9" s="24" t="str">
        <f>_xlfn.IFNA(VLOOKUP(B9,'[1]201'!$E$7:$H$66,3,FALSE),"")</f>
        <v/>
      </c>
      <c r="CM9" s="24" t="str">
        <f>_xlfn.IFNA(VLOOKUP(B9,'[1]201'!$E$7:$H$66,4,FALSE),"")</f>
        <v/>
      </c>
      <c r="CN9" s="22">
        <f>_xlfn.IFNA(IF(CK9=0,0,IF($CN$8=1,-VLOOKUP(G9,[1]!SSSW[#Data],7,TRUE),0)),0)</f>
        <v>0</v>
      </c>
      <c r="CO9" s="22">
        <f>_xlfn.IFNA(IF(CK9=0,0,IF($CO$8=1,-VLOOKUP(M9,[1]!SSSW[#Data],7,TRUE),0)),0)</f>
        <v>0</v>
      </c>
      <c r="CP9" s="22">
        <f>_xlfn.IFNA(IF(CK9=0,0,IF($CP$8=1,-VLOOKUP(CC9+IFERROR(VLOOKUP(B9,'[1]Mar1 Payroll'!$B$9:$FJ$68,80,FALSE),),[1]!SSSW[#Data],7,TRUE),0)),0)</f>
        <v>0</v>
      </c>
      <c r="CQ9" s="22">
        <f>_xlfn.IFNA(IF(CK9=0,0,IF($CQ$8=1,-VLOOKUP(CC9,[1]!SSSW[#Data],7,TRUE),0)),0)</f>
        <v>0</v>
      </c>
      <c r="CR9" s="22">
        <f>IFERROR(IF(CQ9&lt;0,-VLOOKUP(CC9+IFERROR(VLOOKUP(B9,'[1]Mar1 Payroll'!$B$9:$FJ$68,80,FALSE),),[1]!SSSW[#Data],13,TRUE),IF(CP9&lt;0,-VLOOKUP(CC9+IFERROR(VLOOKUP(B9,'[1]Mar1 Payroll'!$B$9:$FJ$68,80,FALSE),),[1]!SSSW[#Data],13,TRUE),IF(CO9&lt;0,-VLOOKUP(G9,[1]!SSSW[#Data],13,TRUE),IF(CN9&lt;0,-VLOOKUP(G9,[1]!SSSW[#Data],13,TRUE),)))),)</f>
        <v>0</v>
      </c>
      <c r="CS9" s="22">
        <f>CN9+CO9+CP9+CQ9+CR9</f>
        <v>0</v>
      </c>
      <c r="CT9" s="22">
        <f>IFERROR(IF(CN9&lt;0,-VLOOKUP(G9,[1]!SSSW[#Data],15,TRUE),IF(CQ9&lt;0,(-VLOOKUP(CC9,[1]!SSSW[#Data],15,TRUE)),IF(CP9&lt;0,-VLOOKUP(CC9+IFERROR(VLOOKUP(B9,'[1]Mar1 Payroll'!$B$9:$FJ$68,80,FALSE),),[1]!SSSW[#Data],15,TRUE),IF(CO9&lt;0,(-VLOOKUP(M9,[1]!SSSW[#Data],15,TRUE)),)))),)</f>
        <v>0</v>
      </c>
      <c r="CU9" s="22">
        <f>IFERROR(-IF(M9=0,0,IF($CU$8=1,IF(CL9&gt;1,IF(M9&gt;30000,900,IF(M9&lt;=5000,150,IF(M9&gt;5000,M9*0.03)))))),)</f>
        <v>0</v>
      </c>
      <c r="CV9" s="22">
        <f>IFERROR(-IF(M9=0,0,IF($CV$8=1,IF(CL9&gt;1,IF(M9&gt;30000,450,IF(M9&lt;=5000,75,IF(M9&gt;5000,((M9*0.03)/2))))))),)</f>
        <v>0</v>
      </c>
      <c r="CW9" s="22">
        <f t="shared" ref="CW9:CW18" si="23">IFERROR(-IF(M9=0,0,IF($CW$8=1,IF(CM9&gt;1,100,0),"")),0)</f>
        <v>0</v>
      </c>
      <c r="CX9" s="22">
        <f t="shared" ref="CX9:CX18" si="24">IFERROR(-IF(M9=0,0,IF($CX$8=1,IF(CM9&gt;1,50,0),"")),0)</f>
        <v>0</v>
      </c>
      <c r="CY9" s="22">
        <f>CS9+CU9+CV9+CW9+CX9</f>
        <v>0</v>
      </c>
      <c r="CZ9" s="25"/>
      <c r="DA9" s="25"/>
      <c r="DB9" s="25"/>
      <c r="DC9" s="22">
        <f>CZ9+DA9+DB9</f>
        <v>0</v>
      </c>
      <c r="DD9" s="25"/>
      <c r="DE9" s="25"/>
      <c r="DF9" s="25"/>
      <c r="DG9" s="25"/>
      <c r="DH9" s="22">
        <f>DD9+DE9+DF9+DG9</f>
        <v>0</v>
      </c>
      <c r="DI9" s="23"/>
      <c r="DJ9" s="23"/>
      <c r="DK9" s="23"/>
      <c r="DL9" s="23"/>
      <c r="DM9" s="23"/>
      <c r="DN9" s="23"/>
      <c r="DO9" s="21">
        <f>DI9+DJ9+DK9+DL9+DM9+DN9</f>
        <v>0</v>
      </c>
      <c r="DP9" s="23"/>
      <c r="DQ9" s="23"/>
      <c r="DR9" s="19"/>
      <c r="DS9" s="22">
        <f>CJ9+CY9+DC9+DH9+DO9+DP9+DQ9+DR9</f>
        <v>0</v>
      </c>
      <c r="DT9" s="22">
        <f t="shared" ref="DT9:DT18" si="25">CC9+DS9</f>
        <v>6000</v>
      </c>
      <c r="DU9" s="22">
        <f>M9+O9+U9+AM9+BG9+CY9</f>
        <v>6000</v>
      </c>
      <c r="DV9" s="25">
        <f t="shared" ref="DV9:DV18" si="26">-IF($DV$8=1,IF(M9&lt;10417,0,IF(M9&lt;16667,((M9-10417)*0.2),IF(M9&lt;33333,((M9-16667)*0.25)+1250,IF(M9&lt;83333,((M9-33333)*0.3)+5416.67,IF(M9&lt;333333,((M9-83333)*0.32)+20416.67,((M9-333333)*0.35)+100416.67))))),0)</f>
        <v>0</v>
      </c>
      <c r="DW9" s="22">
        <f>-IF($DW$8=1,IF(DU9&lt;10417,0,IF(DU9&lt;16667,((DU9-10417)*0.2),IF(DU9&lt;33333,((DU9-16667)*0.25)+1250,IF(DU9&lt;83333,((DU9-33333)*0.3)+5416.67,IF(DU9&lt;333333,((DU9-83333)*0.32)+20416.67,((DU9-333333)*0.35)+100416.67))))),0)</f>
        <v>0</v>
      </c>
      <c r="DX9" s="25">
        <f>-IF($DX$8=1,IF(DT9&lt;10417,0,IF(DT9&lt;16667,((DT9-10417)*0.2),IF(DT9&lt;33333,((DT9-16667)*0.25)+1250,IF(DT9&lt;83333,((DT9-33333)*0.3)+5416.67,IF(DT9&lt;333333,((DT9-83333)*0.32)+20416.67,((DT9-333333)*0.35)+100416.67))))),0)</f>
        <v>0</v>
      </c>
      <c r="DY9" s="22">
        <f>DT9+DV9+DW9+DX9</f>
        <v>6000</v>
      </c>
      <c r="DZ9" s="26">
        <f t="shared" ref="DZ9:DZ18" si="27">((M9+O9+U9+AM9+BG9)+(CJ9))/24</f>
        <v>250</v>
      </c>
      <c r="EB9" s="27">
        <f>IFERROR(M9+IFERROR(VLOOKUP(B9,'[1]Mar1 Payroll'!$B$9:$FJ$68,131,FALSE),),0)</f>
        <v>6000</v>
      </c>
      <c r="EC9" s="27">
        <f>IFERROR(O9+U9+AM9+BG9+BH9+IFERROR(VLOOKUP(B9,'[1]Mar1 Payroll'!$B$9:$FJ$68,132,FALSE),),)</f>
        <v>0</v>
      </c>
      <c r="ED9" s="27">
        <f t="array" ref="ED9">IFERROR(IF(BT9+BX9+BZ9+CA9+CB9+DZ9+IFERROR(SUM(VLOOKUP(B9,'[1]Mar1 Payroll'!$B$9:$FJ$68,{133,137,140,141,144,146,147,148},FALSE)),)&gt;90000,DZ9+IFERROR(SUM(VLOOKUP(B9,'[1]Mar1 Payroll'!$B$9:$FJ$68,{133,144},FALSE)),),IF(BT9+BX9+BZ9+CA9+CB9+DZ9+IFERROR(SUM(VLOOKUP(B9,'[1]Mar1 Payroll'!$B$9:$EK$68,{133,137,140,141,144,146,147,148},FALSE)),)&lt;90000,0,0)),0)</f>
        <v>0</v>
      </c>
      <c r="EE9" s="27">
        <f>IFERROR(BS9+IFERROR(VLOOKUP(B9,'[1]Mar1 Payroll'!$B$9:$FJ$68,134,FALSE),),0)</f>
        <v>0</v>
      </c>
      <c r="EF9" s="27">
        <f>IFERROR(BQ9+IFERROR(VLOOKUP(B9,'[1]Mar1 Payroll'!$B$9:$FJ$68,135,FALSE),),0)</f>
        <v>0</v>
      </c>
      <c r="EG9" s="27">
        <f>IFERROR(BR9+IFERROR(VLOOKUP(B9,'[1]Mar1 Payroll'!$B$9:$FJ$68,136,FALSE),),0)</f>
        <v>0</v>
      </c>
      <c r="EH9" s="27">
        <f t="array" ref="EH9">IFERROR(IF(BT9+BX9+BZ9+CA9+CB9+DZ9+IFERROR(SUM(VLOOKUP(B9,'[1]Mar1 Payroll'!$B$9:$FJ$68,{133,137,140,141,144,146,147,148},FALSE)),)&gt;90000,BT9+IFERROR(SUM(VLOOKUP(B9,'[1]Mar1 Payroll'!$B$9:$FJ$68,{137,147},FALSE)),),IF(BT9+BX9+BZ9+CA9+CB9+DZ9+IFERROR(SUM(VLOOKUP(B9,'[1]Mar1 Payroll'!$B$9:$EK$68,{133,137,140,141,144,146,147,148},FALSE)),)&lt;90000,0,0)),0)</f>
        <v>0</v>
      </c>
      <c r="EI9" s="27">
        <f>IFERROR(BU9+IFERROR(VLOOKUP(B9,'[1]Mar1 Payroll'!$B$9:$FJ$68,138,FALSE),),0)</f>
        <v>0</v>
      </c>
      <c r="EJ9" s="27">
        <f>IFERROR(BV9+IFERROR(VLOOKUP(B9,'[1]Mar1 Payroll'!$B$9:$FJ$68,139,FALSE),),0)</f>
        <v>0</v>
      </c>
      <c r="EK9" s="27">
        <f t="array" ref="EK9">IFERROR(IF(BT9+BX9+BZ9+CA9+CB9+DZ9+IFERROR(SUM(VLOOKUP(B9,'[1]Mar1 Payroll'!$B$9:$FJ$68,{133,137,140,141,144,146,147,148},FALSE)),)&gt;90000,BX9+IFERROR(SUM(VLOOKUP(B9,'[1]Mar1 Payroll'!$B$9:$FJ$68,{140,146},FALSE)),),IF(BT9+BX9+BZ9+CA9+CB9+DZ9+IFERROR(SUM(VLOOKUP(B9,'[1]Mar1 Payroll'!$B$9:$EK$68,{133,137,140,141,144,146,147,148},FALSE)),)&lt;90000,0,0)),0)</f>
        <v>0</v>
      </c>
      <c r="EL9" s="27">
        <f t="array" ref="EL9">IFERROR(IF(BT9+BX9+BZ9+CA9+CB9+DZ9+IFERROR(SUM(VLOOKUP(B9,'[1]Mar1 Payroll'!$B$9:$FJ$68,{133,137,140,141,144,146,147,148},FALSE)),)&gt;90000,BZ9+CA9+CB9+IFERROR(SUM(VLOOKUP(B9,'[1]Mar1 Payroll'!$B$9:$FJ$68,{141,148},FALSE)),),IF(BT9+BX9+BZ9+CA9+CB9+DZ9+IFERROR(SUM(VLOOKUP(B9,'[1]Mar1 Payroll'!$B$9:$EK$68,{133,137,140,141,144,146,147,148},FALSE)),)&lt;90000,0,0)),0)</f>
        <v>0</v>
      </c>
      <c r="EM9" s="27">
        <f>IF(ED9+EH9+EK9+EL9&gt;90000,(ED9+EH9+EL9+EK9)-90000,0)</f>
        <v>0</v>
      </c>
      <c r="EN9" s="27">
        <f>SUM(EE9:EL9)</f>
        <v>0</v>
      </c>
      <c r="EO9" s="27">
        <f t="array" ref="EO9">IFERROR(IF(BT9+BX9+BZ9+CA9+CB9+DZ9+IFERROR(SUM(VLOOKUP(B9,'[1]Mar1 Payroll'!$B$9:$FJ$68,{133,137,140,141,144,146,147,148},FALSE)),)&gt;90000,0,IF(BT9+BX9+BZ9+CA9+CB9+DZ9+IFERROR(SUM(VLOOKUP(B9,'[1]Mar1 Payroll'!$B$9:$EK$68,{133,137,140,141,144,146,147,148},FALSE)),)&lt;90000,DZ9+IFERROR(SUM(VLOOKUP(B9,'[1]Mar1 Payroll'!$B$9:$FJ$68,{133,144},FALSE)),),)),)</f>
        <v>250</v>
      </c>
      <c r="EP9" s="27">
        <f>IFERROR(BY9+IFERROR(VLOOKUP(B9,'[1]Mar1 Payroll'!$B$9:$FJ$68,145,FALSE),),0)</f>
        <v>0</v>
      </c>
      <c r="EQ9" s="27">
        <f t="array" ref="EQ9">IFERROR(IF(BT9+BX9+BZ9+CA9+CB9+DZ9+IFERROR(SUM(VLOOKUP(B9,'[1]Mar1 Payroll'!$B$9:$FJ$68,{133,137,140,141,144,146,147,148},FALSE)),)&gt;90000,0,IF(BT9+BX9+BZ9+CA9+CB9+DZ9+IFERROR(SUM(VLOOKUP(B9,'[1]Mar1 Payroll'!$B$9:$EK$68,{133,137,140,141,144,146,147,148},FALSE)),)&lt;90000,BX9+IFERROR(SUM(VLOOKUP(B9,'[1]Mar1 Payroll'!$B$9:$FJ$68,{140,146},FALSE)),))),0)</f>
        <v>0</v>
      </c>
      <c r="ER9" s="27">
        <f t="array" ref="ER9">IFERROR(IF(BT9+BX9+BZ9+CA9+CB9+DZ9+IFERROR(SUM(VLOOKUP(B9,'[1]Mar1 Payroll'!$B$9:$FJ$68,{133,137,140,141,144,146,147,148},FALSE)),)&gt;90000,0,IF(BT9+BX9+BZ9+CA9+CB9+DZ9+IFERROR(SUM(VLOOKUP(B9,'[1]Mar1 Payroll'!$B$9:$EK$68,{133,137,140,141,144,146,147,148},FALSE)),)&lt;90000,BT9+IFERROR(SUM(VLOOKUP(B9,'[1]Mar1 Payroll'!$B$9:$FJ$68,{137,147},FALSE)),))),0)</f>
        <v>0</v>
      </c>
      <c r="ES9" s="27">
        <f t="array" ref="ES9">IFERROR(IF(BT9+BX9+BZ9+CA9+CB9+DZ9+IFERROR(SUM(VLOOKUP(B9,'[1]Mar1 Payroll'!$B$9:$FJ$68,{133,137,140,141,144,146,147,148},FALSE)),)&gt;90000,0,IF(BT9+BX9+BZ9+CA9+CB9+DZ9+IFERROR(SUM(VLOOKUP(B9,'[1]Mar1 Payroll'!$B$9:$EK$68,{133,137,140,141,144,146,147,148},FALSE)),)&lt;90000,BZ9+CA9+CB9+IFERROR(SUM(VLOOKUP(B9,'[1]Mar1 Payroll'!$B$9:$FJ$68,{141,148},FALSE)),))),0)</f>
        <v>0</v>
      </c>
      <c r="ET9" s="27">
        <f>SUM(EP9:ES9)</f>
        <v>0</v>
      </c>
      <c r="EU9" s="27">
        <f>EB9+EC9+EN9+ET9</f>
        <v>6000</v>
      </c>
      <c r="EV9" s="27">
        <f>IFERROR(DV9+DW9+DX9+IFERROR(VLOOKUP(B9,'[1]Mar1 Payroll'!$B$9:$FJ$68,151,FALSE),),0)</f>
        <v>0</v>
      </c>
      <c r="EW9" s="27">
        <f>IFERROR(CS9+IFERROR(VLOOKUP(B9,'[1]Mar1 Payroll'!$B$9:$FJ$68,152,FALSE),),0)</f>
        <v>0</v>
      </c>
      <c r="EX9" s="27">
        <f>IFERROR(CU9+CV9+IFERROR(VLOOKUP(B9,'[1]Mar1 Payroll'!$B$9:$FJ$68,153,FALSE),),0)</f>
        <v>0</v>
      </c>
      <c r="EY9" s="27">
        <f>IFERROR(CW9+CX9+IFERROR(VLOOKUP(B9,'[1]Mar1 Payroll'!$B$9:$FJ$68,154,FALSE),),0)</f>
        <v>0</v>
      </c>
      <c r="EZ9" s="27">
        <f>IFERROR(CJ9+IFERROR(VLOOKUP(B9,'[1]Mar1 Payroll'!$B$9:$FJ$68,155,FALSE),),0)</f>
        <v>0</v>
      </c>
      <c r="FA9" s="27">
        <f>IFERROR(DP9+DQ9+DR9+IFERROR(VLOOKUP(B9,'[1]Mar1 Payroll'!$B$9:$FJ$68,156,FALSE),),0)</f>
        <v>0</v>
      </c>
      <c r="FB9" s="27">
        <f>IFERROR(CZ9+IFERROR(VLOOKUP(B9,'[1]Mar1 Payroll'!$B$9:$FJ$68,157,FALSE),),0)</f>
        <v>0</v>
      </c>
      <c r="FC9" s="27">
        <f>IFERROR(DA9+IFERROR(VLOOKUP(B9,'[1]Mar1 Payroll'!$B$9:$FJ$68,158,FALSE),),0)</f>
        <v>0</v>
      </c>
      <c r="FD9" s="27">
        <f>IFERROR(DB9+IFERROR(VLOOKUP(B9,'[1]Mar1 Payroll'!$B$9:$FJ$68,159,FALSE),),0)</f>
        <v>0</v>
      </c>
      <c r="FE9" s="27">
        <f>IFERROR(DD9+IFERROR(VLOOKUP(B9,'[1]Mar1 Payroll'!$B$9:$FJ$68,160,FALSE),),0)</f>
        <v>0</v>
      </c>
      <c r="FF9" s="27">
        <f>IFERROR(DE9+IFERROR(VLOOKUP(B9,'[1]Mar1 Payroll'!$B$9:$FJ$68,161,FALSE),),0)</f>
        <v>0</v>
      </c>
      <c r="FG9" s="27">
        <f>IFERROR(DF9+IFERROR(VLOOKUP(B9,'[1]Mar1 Payroll'!$B$9:$FJ$68,162,FALSE),),0)</f>
        <v>0</v>
      </c>
      <c r="FH9" s="27">
        <f>IFERROR(DG9+IFERROR(VLOOKUP(B9,'[1]Mar1 Payroll'!$B$9:$FJ$68,163,FALSE),),0)</f>
        <v>0</v>
      </c>
      <c r="FI9" s="27">
        <f>SUM(EV9:FD9)</f>
        <v>0</v>
      </c>
      <c r="FJ9" s="28">
        <f>EU9+FI9</f>
        <v>6000</v>
      </c>
      <c r="FM9" s="29">
        <f>EB9</f>
        <v>6000</v>
      </c>
      <c r="FN9" s="30">
        <f t="shared" ref="FN9:GA18" si="28">EC9</f>
        <v>0</v>
      </c>
      <c r="FO9" s="30">
        <f>IFERROR(IF(FZ9+GB9+GC9+GD9=90000,ED9-FZ9,),)</f>
        <v>0</v>
      </c>
      <c r="FP9" s="30">
        <f t="shared" si="28"/>
        <v>0</v>
      </c>
      <c r="FQ9" s="30">
        <f t="shared" si="28"/>
        <v>0</v>
      </c>
      <c r="FR9" s="30">
        <f t="shared" si="28"/>
        <v>0</v>
      </c>
      <c r="FS9" s="30">
        <f>IFERROR(IF(FZ9+GB9+GC9+GD9=90000,EH9-GC9,),)</f>
        <v>0</v>
      </c>
      <c r="FT9" s="30">
        <f t="shared" si="28"/>
        <v>0</v>
      </c>
      <c r="FU9" s="30">
        <f t="shared" si="28"/>
        <v>0</v>
      </c>
      <c r="FV9" s="30">
        <f>IFERROR(IF(FZ9+GB9+GC9+GD9=90000,EK9-GB9,),)</f>
        <v>0</v>
      </c>
      <c r="FW9" s="30">
        <f>IFERROR(IF(FZ9+GB9+GC9+GD9=90000,EL9-GD9,),)</f>
        <v>0</v>
      </c>
      <c r="FX9" s="30">
        <f>FO9+FS9+FV9+FW9</f>
        <v>0</v>
      </c>
      <c r="FY9" s="30">
        <f>SUM(FP9:FW9)</f>
        <v>0</v>
      </c>
      <c r="FZ9" s="30">
        <f>IFERROR(EO9+IFERROR((ED9*(90000/(ED9+EH9+EK9+EL9))),),)</f>
        <v>250</v>
      </c>
      <c r="GA9" s="30">
        <f t="shared" si="28"/>
        <v>0</v>
      </c>
      <c r="GB9" s="30">
        <f>IFERROR(EQ9+IFERROR((EK9*(90000/(ED9+EH9+EK9+EL9))),),)</f>
        <v>0</v>
      </c>
      <c r="GC9" s="30">
        <f>IFERROR(ER9+IFERROR((EH9*(90000/(ED9+EH9+EK9+EL9))),),)</f>
        <v>0</v>
      </c>
      <c r="GD9" s="30">
        <f>IFERROR(ES9+IFERROR((EL9*(90000/ED9+EH9+EK9+EL9)),),)</f>
        <v>0</v>
      </c>
      <c r="GE9" s="30">
        <f>SUM(GA9:GD9)</f>
        <v>0</v>
      </c>
      <c r="GF9" s="30">
        <f>FM9+FN9+FY9+GE9</f>
        <v>6000</v>
      </c>
      <c r="GG9" s="30">
        <f t="shared" ref="GG9:GS18" si="29">EV9</f>
        <v>0</v>
      </c>
      <c r="GH9" s="30">
        <f t="shared" si="29"/>
        <v>0</v>
      </c>
      <c r="GI9" s="30">
        <f t="shared" si="29"/>
        <v>0</v>
      </c>
      <c r="GJ9" s="30">
        <f t="shared" si="29"/>
        <v>0</v>
      </c>
      <c r="GK9" s="30">
        <f t="shared" si="29"/>
        <v>0</v>
      </c>
      <c r="GL9" s="30">
        <f t="shared" si="29"/>
        <v>0</v>
      </c>
      <c r="GM9" s="30">
        <f t="shared" si="29"/>
        <v>0</v>
      </c>
      <c r="GN9" s="30">
        <f t="shared" si="29"/>
        <v>0</v>
      </c>
      <c r="GO9" s="30">
        <f t="shared" si="29"/>
        <v>0</v>
      </c>
      <c r="GP9" s="30">
        <f t="shared" si="29"/>
        <v>0</v>
      </c>
      <c r="GQ9" s="30">
        <f t="shared" si="29"/>
        <v>0</v>
      </c>
      <c r="GR9" s="30">
        <f t="shared" si="29"/>
        <v>0</v>
      </c>
      <c r="GS9" s="30">
        <f t="shared" si="29"/>
        <v>0</v>
      </c>
      <c r="GT9" s="30">
        <f>SUM(GG9:GS9)</f>
        <v>0</v>
      </c>
      <c r="GU9" s="31">
        <f>GF9+GT9</f>
        <v>6000</v>
      </c>
      <c r="GV9" s="32"/>
    </row>
    <row r="10" spans="1:204" ht="15.75" customHeight="1" thickBot="1" x14ac:dyDescent="0.3">
      <c r="A10" s="33">
        <f t="shared" ref="A10:A20" si="30">ROW()-8</f>
        <v>2</v>
      </c>
      <c r="B10" s="25" t="s">
        <v>149</v>
      </c>
      <c r="C10" s="37" t="s">
        <v>159</v>
      </c>
      <c r="D10" s="25"/>
      <c r="E10" s="37" t="s">
        <v>160</v>
      </c>
      <c r="F10" s="25"/>
      <c r="G10" s="25">
        <v>11000</v>
      </c>
      <c r="H10" s="22">
        <f t="shared" si="0"/>
        <v>5500</v>
      </c>
      <c r="I10" s="25"/>
      <c r="J10" s="22">
        <v>423.07692307692309</v>
      </c>
      <c r="K10" s="22">
        <f t="shared" ref="K10:K18" si="31">J10/8</f>
        <v>52.884615384615387</v>
      </c>
      <c r="L10" s="22">
        <f t="shared" ref="L10:L18" si="32">K10/60</f>
        <v>0.8814102564102565</v>
      </c>
      <c r="M10" s="22">
        <f t="shared" ref="M10:M12" si="33">H10+(I10*J10)</f>
        <v>5500</v>
      </c>
      <c r="N10" s="25"/>
      <c r="O10" s="22">
        <f t="shared" si="1"/>
        <v>0</v>
      </c>
      <c r="P10" s="25"/>
      <c r="Q10" s="22">
        <f t="shared" si="2"/>
        <v>0</v>
      </c>
      <c r="R10" s="25"/>
      <c r="S10" s="22">
        <f t="shared" si="3"/>
        <v>0</v>
      </c>
      <c r="T10" s="22">
        <f t="shared" ref="T10:T18" si="34">P10+R10</f>
        <v>0</v>
      </c>
      <c r="U10" s="22">
        <f t="shared" ref="U10:U18" si="35">+Q10+S10</f>
        <v>0</v>
      </c>
      <c r="V10" s="25"/>
      <c r="W10" s="22">
        <f t="shared" si="4"/>
        <v>0</v>
      </c>
      <c r="X10" s="25"/>
      <c r="Y10" s="22">
        <f t="shared" si="5"/>
        <v>0</v>
      </c>
      <c r="Z10" s="25"/>
      <c r="AA10" s="22">
        <f t="shared" si="6"/>
        <v>0</v>
      </c>
      <c r="AB10" s="25"/>
      <c r="AC10" s="22">
        <f t="shared" si="7"/>
        <v>0</v>
      </c>
      <c r="AD10" s="25"/>
      <c r="AE10" s="22">
        <f t="shared" si="8"/>
        <v>0</v>
      </c>
      <c r="AF10" s="25"/>
      <c r="AG10" s="22">
        <f t="shared" si="9"/>
        <v>0</v>
      </c>
      <c r="AH10" s="25"/>
      <c r="AI10" s="22">
        <f t="shared" si="10"/>
        <v>0</v>
      </c>
      <c r="AJ10" s="25"/>
      <c r="AK10" s="22">
        <f t="shared" si="11"/>
        <v>0</v>
      </c>
      <c r="AL10" s="22">
        <f t="shared" ref="AL10:AM18" si="36">V10+X10+Z10+AB10+AD10+AF10+AH10+AJ10</f>
        <v>0</v>
      </c>
      <c r="AM10" s="22">
        <f t="shared" si="36"/>
        <v>0</v>
      </c>
      <c r="AN10" s="25"/>
      <c r="AO10" s="22">
        <f t="shared" si="12"/>
        <v>0</v>
      </c>
      <c r="AP10" s="25"/>
      <c r="AQ10" s="22">
        <f t="shared" si="13"/>
        <v>0</v>
      </c>
      <c r="AR10" s="25"/>
      <c r="AS10" s="22">
        <f t="shared" si="14"/>
        <v>0</v>
      </c>
      <c r="AT10" s="25"/>
      <c r="AU10" s="22">
        <f t="shared" si="15"/>
        <v>0</v>
      </c>
      <c r="AV10" s="25"/>
      <c r="AW10" s="22">
        <f t="shared" si="16"/>
        <v>0</v>
      </c>
      <c r="AX10" s="25"/>
      <c r="AY10" s="22">
        <f t="shared" si="17"/>
        <v>0</v>
      </c>
      <c r="AZ10" s="25"/>
      <c r="BA10" s="22">
        <f t="shared" si="18"/>
        <v>0</v>
      </c>
      <c r="BB10" s="25"/>
      <c r="BC10" s="22">
        <f t="shared" si="19"/>
        <v>0</v>
      </c>
      <c r="BD10" s="25"/>
      <c r="BE10" s="22">
        <f t="shared" si="20"/>
        <v>0</v>
      </c>
      <c r="BF10" s="22">
        <f t="shared" ref="BF10:BG18" si="37">AN10+AP10+AR10+AT10+AV10+AX10+AZ10+BB10+BD10</f>
        <v>0</v>
      </c>
      <c r="BG10" s="22">
        <f t="shared" si="37"/>
        <v>0</v>
      </c>
      <c r="BH10" s="25"/>
      <c r="BI10" s="21">
        <f>IFERROR(VLOOKUP(B10,'[1]Mar1 Payroll'!$B$9:$FJ$68,66,FALSE),)</f>
        <v>0</v>
      </c>
      <c r="BJ10" s="21">
        <f>IFERROR(VLOOKUP(B10,'[1]Mar1 Payroll'!$B$9:$FJ$68,67,FALSE),)</f>
        <v>0</v>
      </c>
      <c r="BK10" s="25"/>
      <c r="BL10" s="25"/>
      <c r="BM10" s="25"/>
      <c r="BN10" s="25"/>
      <c r="BO10" s="21">
        <f t="shared" ref="BO10:BP18" si="38">BI10+BK10-BM10</f>
        <v>0</v>
      </c>
      <c r="BP10" s="21">
        <f t="shared" si="38"/>
        <v>0</v>
      </c>
      <c r="BQ10" s="21">
        <f t="shared" ref="BQ10:BQ18" si="39">IFERROR(IF(I10&gt;1,J10*BM10,),)</f>
        <v>0</v>
      </c>
      <c r="BR10" s="21">
        <f t="shared" ref="BR10:BR18" si="40">IFERROR(IF(I10&gt;1,J10*BN10,),)</f>
        <v>0</v>
      </c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2">
        <f t="shared" ref="CC10:CC18" si="41">M10+O10+U10+AM10+BG10+BH10+BS10+BT10+BU10+BV10+BW10+BX10+BY10+CB10+BR10+BQ10</f>
        <v>5500</v>
      </c>
      <c r="CD10" s="25"/>
      <c r="CE10" s="22">
        <f t="shared" si="21"/>
        <v>0</v>
      </c>
      <c r="CF10" s="34"/>
      <c r="CG10" s="21">
        <f t="shared" ref="CG10:CG18" si="42">-L10*CF10</f>
        <v>0</v>
      </c>
      <c r="CH10" s="25"/>
      <c r="CI10" s="22">
        <f t="shared" si="22"/>
        <v>0</v>
      </c>
      <c r="CJ10" s="22">
        <f t="shared" ref="CJ10:CJ18" si="43">CE10+CI10+CG10</f>
        <v>0</v>
      </c>
      <c r="CK10" s="35" t="str">
        <f>_xlfn.IFNA(VLOOKUP(B10,'[1]201'!$E$7:$H$66,2,FALSE),"")</f>
        <v/>
      </c>
      <c r="CL10" s="35" t="str">
        <f>_xlfn.IFNA(VLOOKUP(B10,'[1]201'!$E$7:$H$66,3,FALSE),"")</f>
        <v/>
      </c>
      <c r="CM10" s="35" t="str">
        <f>_xlfn.IFNA(VLOOKUP(B10,'[1]201'!$E$7:$H$66,4,FALSE),"")</f>
        <v/>
      </c>
      <c r="CN10" s="22">
        <f>_xlfn.IFNA(IF(CK10=0,0,IF($CN$8=1,-VLOOKUP(G10,[1]!SSSW[#Data],7,TRUE),0)),0)</f>
        <v>0</v>
      </c>
      <c r="CO10" s="22">
        <f>_xlfn.IFNA(IF(CK10=0,0,IF($CO$8=1,-VLOOKUP(M10,[1]!SSSW[#Data],7,TRUE),0)),0)</f>
        <v>0</v>
      </c>
      <c r="CP10" s="22">
        <f>_xlfn.IFNA(IF(CK10=0,0,IF($CP$8=1,-VLOOKUP(CC10+IFERROR(VLOOKUP(B10,'[1]Mar1 Payroll'!$B$9:$FJ$68,80,FALSE),),[1]!SSSW[#Data],7,TRUE),0)),0)</f>
        <v>0</v>
      </c>
      <c r="CQ10" s="22">
        <f>_xlfn.IFNA(IF(CK10=0,0,IF($CQ$8=1,-VLOOKUP(CC10,[1]!SSSW[#Data],7,TRUE),0)),0)</f>
        <v>0</v>
      </c>
      <c r="CR10" s="22">
        <f>IFERROR(IF(CQ10&lt;0,-VLOOKUP(CC10+IFERROR(VLOOKUP(B10,'[1]Mar1 Payroll'!$B$9:$FJ$68,80,FALSE),),[1]!SSSW[#Data],13,TRUE),IF(CP10&lt;0,-VLOOKUP(CC10+IFERROR(VLOOKUP(B10,'[1]Mar1 Payroll'!$B$9:$FJ$68,80,FALSE),),[1]!SSSW[#Data],13,TRUE),IF(CO10&lt;0,-VLOOKUP(G10,[1]!SSSW[#Data],13,TRUE),IF(CN10&lt;0,-VLOOKUP(G10,[1]!SSSW[#Data],13,TRUE),)))),)</f>
        <v>0</v>
      </c>
      <c r="CS10" s="22">
        <f t="shared" ref="CS10:CS18" si="44">CN10+CO10+CP10+CQ10+CR10</f>
        <v>0</v>
      </c>
      <c r="CT10" s="22">
        <f>IFERROR(IF(CN10&lt;0,-VLOOKUP(G10,[1]!SSSW[#Data],15,TRUE),IF(CQ10&lt;0,(-VLOOKUP(CC10,[1]!SSSW[#Data],15,TRUE)),IF(CP10&lt;0,-VLOOKUP(CC10+IFERROR(VLOOKUP(B10,'[1]Mar1 Payroll'!$B$9:$FJ$68,80,FALSE),),[1]!SSSW[#Data],15,TRUE),IF(CO10&lt;0,(-VLOOKUP(M10,[1]!SSSW[#Data],15,TRUE)),)))),)</f>
        <v>0</v>
      </c>
      <c r="CU10" s="22">
        <f t="shared" ref="CU10:CU18" si="45">IFERROR(-IF(M10=0,0,IF($CU$8=1,IF(CL10&gt;1,IF(M10&gt;30000,900,IF(M10&lt;=5000,150,IF(M10&gt;5000,M10*0.03)))))),)</f>
        <v>0</v>
      </c>
      <c r="CV10" s="22">
        <f t="shared" ref="CV10:CV18" si="46">IFERROR(-IF(M10=0,0,IF($CV$8=1,IF(CL10&gt;1,IF(M10&gt;30000,450,IF(M10&lt;=5000,75,IF(M10&gt;5000,((M10*0.03)/2))))))),)</f>
        <v>0</v>
      </c>
      <c r="CW10" s="22">
        <f t="shared" si="23"/>
        <v>0</v>
      </c>
      <c r="CX10" s="22">
        <f t="shared" si="24"/>
        <v>0</v>
      </c>
      <c r="CY10" s="22">
        <f t="shared" ref="CY10:CY18" si="47">CS10+CU10+CV10+CW10+CX10</f>
        <v>0</v>
      </c>
      <c r="CZ10" s="25"/>
      <c r="DA10" s="25"/>
      <c r="DB10" s="25"/>
      <c r="DC10" s="22">
        <f t="shared" ref="DC10:DC18" si="48">CZ10+DA10+DB10</f>
        <v>0</v>
      </c>
      <c r="DD10" s="25"/>
      <c r="DE10" s="25"/>
      <c r="DF10" s="25"/>
      <c r="DG10" s="25"/>
      <c r="DH10" s="22">
        <f t="shared" ref="DH10:DH18" si="49">DD10+DE10+DF10+DG10</f>
        <v>0</v>
      </c>
      <c r="DI10" s="34"/>
      <c r="DJ10" s="34"/>
      <c r="DK10" s="34"/>
      <c r="DL10" s="34"/>
      <c r="DM10" s="34"/>
      <c r="DN10" s="34"/>
      <c r="DO10" s="21">
        <f t="shared" ref="DO10:DO18" si="50">DI10+DJ10+DK10+DL10+DM10+DN10</f>
        <v>0</v>
      </c>
      <c r="DP10" s="34"/>
      <c r="DQ10" s="34"/>
      <c r="DR10" s="25"/>
      <c r="DS10" s="22">
        <f t="shared" ref="DS10:DS18" si="51">CJ10+CY10+DC10+DH10+DO10+DP10+DQ10+DR10</f>
        <v>0</v>
      </c>
      <c r="DT10" s="22">
        <f t="shared" si="25"/>
        <v>5500</v>
      </c>
      <c r="DU10" s="22">
        <f t="shared" ref="DU10:DU18" si="52">M10+O10+U10+AM10+BG10+CY10</f>
        <v>5500</v>
      </c>
      <c r="DV10" s="25">
        <f t="shared" si="26"/>
        <v>0</v>
      </c>
      <c r="DW10" s="22">
        <f t="shared" ref="DW10:DW18" si="53">-IF($DW$8=1,IF(DU10&lt;10417,0,IF(DU10&lt;16667,((DU10-10417)*0.2),IF(DU10&lt;33333,((DU10-16667)*0.25)+1250,IF(DU10&lt;83333,((DU10-33333)*0.3)+5416.67,IF(DU10&lt;333333,((DU10-83333)*0.32)+20416.67,((DU10-333333)*0.35)+100416.67))))),0)</f>
        <v>0</v>
      </c>
      <c r="DX10" s="25">
        <f t="shared" ref="DX10:DX18" si="54">-IF($DX$8=1,IF(DT10&lt;10417,0,IF(DT10&lt;16667,((DT10-10417)*0.2),IF(DT10&lt;33333,((DT10-16667)*0.25)+1250,IF(DT10&lt;83333,((DT10-33333)*0.3)+5416.67,IF(DT10&lt;333333,((DT10-83333)*0.32)+20416.67,((DT10-333333)*0.35)+100416.67))))),0)</f>
        <v>0</v>
      </c>
      <c r="DY10" s="22">
        <f t="shared" ref="DY10:DY18" si="55">DT10+DV10+DW10+DX10</f>
        <v>5500</v>
      </c>
      <c r="DZ10" s="26">
        <f t="shared" si="27"/>
        <v>229.16666666666666</v>
      </c>
      <c r="EB10" s="27">
        <f>IFERROR(M10+IFERROR(VLOOKUP(B10,'[1]Mar1 Payroll'!$B$9:$FJ$68,131,FALSE),),0)</f>
        <v>5500</v>
      </c>
      <c r="EC10" s="27">
        <f>IFERROR(O10+U10+AM10+BG10+BH10+IFERROR(VLOOKUP(B10,'[1]Mar1 Payroll'!$B$9:$FJ$68,132,FALSE),),)</f>
        <v>0</v>
      </c>
      <c r="ED10" s="27">
        <f t="array" ref="ED10">IFERROR(IF(BT10+BX10+BZ10+CA10+CB10+DZ10+IFERROR(SUM(VLOOKUP(B10,'[1]Mar1 Payroll'!$B$9:$FJ$68,{133,137,140,141,144,146,147,148},FALSE)),)&gt;90000,DZ10+IFERROR(SUM(VLOOKUP(B10,'[1]Mar1 Payroll'!$B$9:$FJ$68,{133,144},FALSE)),),IF(BT10+BX10+BZ10+CA10+CB10+DZ10+IFERROR(SUM(VLOOKUP(B10,'[1]Mar1 Payroll'!$B$9:$EK$68,{133,137,140,141,144,146,147,148},FALSE)),)&lt;90000,0,0)),0)</f>
        <v>0</v>
      </c>
      <c r="EE10" s="27">
        <f>IFERROR(BS10+IFERROR(VLOOKUP(B10,'[1]Mar1 Payroll'!$B$9:$FJ$68,134,FALSE),),0)</f>
        <v>0</v>
      </c>
      <c r="EF10" s="27">
        <f>IFERROR(BQ10+IFERROR(VLOOKUP(B10,'[1]Mar1 Payroll'!$B$9:$FJ$68,135,FALSE),),0)</f>
        <v>0</v>
      </c>
      <c r="EG10" s="27">
        <f>IFERROR(BR10+IFERROR(VLOOKUP(B10,'[1]Mar1 Payroll'!$B$9:$FJ$68,136,FALSE),),0)</f>
        <v>0</v>
      </c>
      <c r="EH10" s="27">
        <f t="array" ref="EH10">IFERROR(IF(BT10+BX10+BZ10+CA10+CB10+DZ10+IFERROR(SUM(VLOOKUP(B10,'[1]Mar1 Payroll'!$B$9:$FJ$68,{133,137,140,141,144,146,147,148},FALSE)),)&gt;90000,BT10+IFERROR(SUM(VLOOKUP(B10,'[1]Mar1 Payroll'!$B$9:$FJ$68,{137,147},FALSE)),),IF(BT10+BX10+BZ10+CA10+CB10+DZ10+IFERROR(SUM(VLOOKUP(B10,'[1]Mar1 Payroll'!$B$9:$EK$68,{133,137,140,141,144,146,147,148},FALSE)),)&lt;90000,0,0)),0)</f>
        <v>0</v>
      </c>
      <c r="EI10" s="27">
        <f>IFERROR(BU10+IFERROR(VLOOKUP(B10,'[1]Mar1 Payroll'!$B$9:$FJ$68,138,FALSE),),0)</f>
        <v>0</v>
      </c>
      <c r="EJ10" s="27">
        <f>IFERROR(BV10+IFERROR(VLOOKUP(B10,'[1]Mar1 Payroll'!$B$9:$FJ$68,139,FALSE),),0)</f>
        <v>0</v>
      </c>
      <c r="EK10" s="27">
        <f t="array" ref="EK10">IFERROR(IF(BT10+BX10+BZ10+CA10+CB10+DZ10+IFERROR(SUM(VLOOKUP(B10,'[1]Mar1 Payroll'!$B$9:$FJ$68,{133,137,140,141,144,146,147,148},FALSE)),)&gt;90000,BX10+IFERROR(SUM(VLOOKUP(B10,'[1]Mar1 Payroll'!$B$9:$FJ$68,{140,146},FALSE)),),IF(BT10+BX10+BZ10+CA10+CB10+DZ10+IFERROR(SUM(VLOOKUP(B10,'[1]Mar1 Payroll'!$B$9:$EK$68,{133,137,140,141,144,146,147,148},FALSE)),)&lt;90000,0,0)),0)</f>
        <v>0</v>
      </c>
      <c r="EL10" s="27">
        <f t="array" ref="EL10">IFERROR(IF(BT10+BX10+BZ10+CA10+CB10+DZ10+IFERROR(SUM(VLOOKUP(B10,'[1]Mar1 Payroll'!$B$9:$FJ$68,{133,137,140,141,144,146,147,148},FALSE)),)&gt;90000,BZ10+CA10+CB10+IFERROR(SUM(VLOOKUP(B10,'[1]Mar1 Payroll'!$B$9:$FJ$68,{141,148},FALSE)),),IF(BT10+BX10+BZ10+CA10+CB10+DZ10+IFERROR(SUM(VLOOKUP(B10,'[1]Mar1 Payroll'!$B$9:$EK$68,{133,137,140,141,144,146,147,148},FALSE)),)&lt;90000,0,0)),0)</f>
        <v>0</v>
      </c>
      <c r="EM10" s="27">
        <f t="shared" ref="EM10:EM18" si="56">IF(ED10+EH10+EK10+EL10&gt;90000,(ED10+EH10+EL10+EK10)-90000,0)</f>
        <v>0</v>
      </c>
      <c r="EN10" s="27">
        <f t="shared" ref="EN10:EN18" si="57">SUM(EE10:EL10)</f>
        <v>0</v>
      </c>
      <c r="EO10" s="27">
        <f t="array" ref="EO10">IFERROR(IF(BT10+BX10+BZ10+CA10+CB10+DZ10+IFERROR(SUM(VLOOKUP(B10,'[1]Mar1 Payroll'!$B$9:$FJ$68,{133,137,140,141,144,146,147,148},FALSE)),)&gt;90000,0,IF(BT10+BX10+BZ10+CA10+CB10+DZ10+IFERROR(SUM(VLOOKUP(B10,'[1]Mar1 Payroll'!$B$9:$EK$68,{133,137,140,141,144,146,147,148},FALSE)),)&lt;90000,DZ10+IFERROR(SUM(VLOOKUP(B10,'[1]Mar1 Payroll'!$B$9:$FJ$68,{133,144},FALSE)),),)),)</f>
        <v>229.16666666666666</v>
      </c>
      <c r="EP10" s="27">
        <f>IFERROR(BY10+IFERROR(VLOOKUP(B10,'[1]Mar1 Payroll'!$B$9:$FJ$68,145,FALSE),),0)</f>
        <v>0</v>
      </c>
      <c r="EQ10" s="27">
        <f t="array" ref="EQ10">IFERROR(IF(BT10+BX10+BZ10+CA10+CB10+DZ10+IFERROR(SUM(VLOOKUP(B10,'[1]Mar1 Payroll'!$B$9:$FJ$68,{133,137,140,141,144,146,147,148},FALSE)),)&gt;90000,0,IF(BT10+BX10+BZ10+CA10+CB10+DZ10+IFERROR(SUM(VLOOKUP(B10,'[1]Mar1 Payroll'!$B$9:$EK$68,{133,137,140,141,144,146,147,148},FALSE)),)&lt;90000,BX10+IFERROR(SUM(VLOOKUP(B10,'[1]Mar1 Payroll'!$B$9:$FJ$68,{140,146},FALSE)),))),0)</f>
        <v>0</v>
      </c>
      <c r="ER10" s="27">
        <f t="array" ref="ER10">IFERROR(IF(BT10+BX10+BZ10+CA10+CB10+DZ10+IFERROR(SUM(VLOOKUP(B10,'[1]Mar1 Payroll'!$B$9:$FJ$68,{133,137,140,141,144,146,147,148},FALSE)),)&gt;90000,0,IF(BT10+BX10+BZ10+CA10+CB10+DZ10+IFERROR(SUM(VLOOKUP(B10,'[1]Mar1 Payroll'!$B$9:$EK$68,{133,137,140,141,144,146,147,148},FALSE)),)&lt;90000,BT10+IFERROR(SUM(VLOOKUP(B10,'[1]Mar1 Payroll'!$B$9:$FJ$68,{137,147},FALSE)),))),0)</f>
        <v>0</v>
      </c>
      <c r="ES10" s="27">
        <f t="array" ref="ES10">IFERROR(IF(BT10+BX10+BZ10+CA10+CB10+DZ10+IFERROR(SUM(VLOOKUP(B10,'[1]Mar1 Payroll'!$B$9:$FJ$68,{133,137,140,141,144,146,147,148},FALSE)),)&gt;90000,0,IF(BT10+BX10+BZ10+CA10+CB10+DZ10+IFERROR(SUM(VLOOKUP(B10,'[1]Mar1 Payroll'!$B$9:$EK$68,{133,137,140,141,144,146,147,148},FALSE)),)&lt;90000,BZ10+CA10+CB10+IFERROR(SUM(VLOOKUP(B10,'[1]Mar1 Payroll'!$B$9:$FJ$68,{141,148},FALSE)),))),0)</f>
        <v>0</v>
      </c>
      <c r="ET10" s="27">
        <f t="shared" ref="ET10:ET18" si="58">SUM(EP10:ES10)</f>
        <v>0</v>
      </c>
      <c r="EU10" s="27">
        <f t="shared" ref="EU10:EU18" si="59">EB10+EC10+EN10+ET10</f>
        <v>5500</v>
      </c>
      <c r="EV10" s="27">
        <f>IFERROR(DV10+DW10+DX10+IFERROR(VLOOKUP(B10,'[1]Mar1 Payroll'!$B$9:$FJ$68,151,FALSE),),0)</f>
        <v>0</v>
      </c>
      <c r="EW10" s="27">
        <f>IFERROR(CS10+IFERROR(VLOOKUP(B10,'[1]Mar1 Payroll'!$B$9:$FJ$68,152,FALSE),),0)</f>
        <v>0</v>
      </c>
      <c r="EX10" s="27">
        <f>IFERROR(CU10+CV10+IFERROR(VLOOKUP(B10,'[1]Mar1 Payroll'!$B$9:$FJ$68,153,FALSE),),0)</f>
        <v>0</v>
      </c>
      <c r="EY10" s="27">
        <f>IFERROR(CW10+CX10+IFERROR(VLOOKUP(B10,'[1]Mar1 Payroll'!$B$9:$FJ$68,154,FALSE),),0)</f>
        <v>0</v>
      </c>
      <c r="EZ10" s="27">
        <f>IFERROR(CJ10+IFERROR(VLOOKUP(B10,'[1]Mar1 Payroll'!$B$9:$FJ$68,155,FALSE),),0)</f>
        <v>0</v>
      </c>
      <c r="FA10" s="27">
        <f>IFERROR(DP10+DQ10+DR10+IFERROR(VLOOKUP(B10,'[1]Mar1 Payroll'!$B$9:$FJ$68,156,FALSE),),0)</f>
        <v>0</v>
      </c>
      <c r="FB10" s="27">
        <f>IFERROR(CZ10+IFERROR(VLOOKUP(B10,'[1]Mar1 Payroll'!$B$9:$FJ$68,157,FALSE),),0)</f>
        <v>0</v>
      </c>
      <c r="FC10" s="27">
        <f>IFERROR(DA10+IFERROR(VLOOKUP(B10,'[1]Mar1 Payroll'!$B$9:$FJ$68,158,FALSE),),0)</f>
        <v>0</v>
      </c>
      <c r="FD10" s="27">
        <f>IFERROR(DB10+IFERROR(VLOOKUP(B10,'[1]Mar1 Payroll'!$B$9:$FJ$68,159,FALSE),),0)</f>
        <v>0</v>
      </c>
      <c r="FE10" s="27">
        <f>IFERROR(DD10+IFERROR(VLOOKUP(B10,'[1]Mar1 Payroll'!$B$9:$FJ$68,160,FALSE),),0)</f>
        <v>0</v>
      </c>
      <c r="FF10" s="27">
        <f>IFERROR(DE10+IFERROR(VLOOKUP(B10,'[1]Mar1 Payroll'!$B$9:$FJ$68,161,FALSE),),0)</f>
        <v>0</v>
      </c>
      <c r="FG10" s="27">
        <f>IFERROR(DF10+IFERROR(VLOOKUP(B10,'[1]Mar1 Payroll'!$B$9:$FJ$68,162,FALSE),),0)</f>
        <v>0</v>
      </c>
      <c r="FH10" s="27">
        <f>IFERROR(DG10+IFERROR(VLOOKUP(B10,'[1]Mar1 Payroll'!$B$9:$FJ$68,163,FALSE),),0)</f>
        <v>0</v>
      </c>
      <c r="FI10" s="27">
        <f t="shared" ref="FI10:FI18" si="60">SUM(EV10:FD10)</f>
        <v>0</v>
      </c>
      <c r="FJ10" s="28">
        <f t="shared" ref="FJ10:FJ18" si="61">EU10+FI10</f>
        <v>5500</v>
      </c>
      <c r="FM10" s="29">
        <f t="shared" ref="FM10:FM18" si="62">EB10</f>
        <v>5500</v>
      </c>
      <c r="FN10" s="30">
        <f t="shared" si="28"/>
        <v>0</v>
      </c>
      <c r="FO10" s="30">
        <f t="shared" ref="FO10:FO18" si="63">IFERROR(IF(FZ10+GB10+GC10+GD10=90000,ED10-FZ10,),)</f>
        <v>0</v>
      </c>
      <c r="FP10" s="30">
        <f t="shared" si="28"/>
        <v>0</v>
      </c>
      <c r="FQ10" s="30">
        <f t="shared" si="28"/>
        <v>0</v>
      </c>
      <c r="FR10" s="30">
        <f t="shared" si="28"/>
        <v>0</v>
      </c>
      <c r="FS10" s="30">
        <f t="shared" ref="FS10:FS18" si="64">IFERROR(IF(FZ10+GB10+GC10+GD10=90000,EH10-GC10,),)</f>
        <v>0</v>
      </c>
      <c r="FT10" s="30">
        <f t="shared" si="28"/>
        <v>0</v>
      </c>
      <c r="FU10" s="30">
        <f t="shared" si="28"/>
        <v>0</v>
      </c>
      <c r="FV10" s="30">
        <f t="shared" ref="FV10:FV18" si="65">IFERROR(IF(FZ10+GB10+GC10+GD10=90000,EK10-GB10,),)</f>
        <v>0</v>
      </c>
      <c r="FW10" s="30">
        <f t="shared" ref="FW10:FW18" si="66">IFERROR(IF(FZ10+GB10+GC10+GD10=90000,EL10-GD10,),)</f>
        <v>0</v>
      </c>
      <c r="FX10" s="30">
        <f t="shared" ref="FX10:FX18" si="67">FO10+FS10+FV10+FW10</f>
        <v>0</v>
      </c>
      <c r="FY10" s="30">
        <f t="shared" ref="FY10:FY18" si="68">SUM(FP10:FW10)</f>
        <v>0</v>
      </c>
      <c r="FZ10" s="30">
        <f t="shared" ref="FZ10:FZ18" si="69">IFERROR(EO10+IFERROR((ED10*(90000/(ED10+EH10+EK10+EL10))),),)</f>
        <v>229.16666666666666</v>
      </c>
      <c r="GA10" s="30">
        <f t="shared" si="28"/>
        <v>0</v>
      </c>
      <c r="GB10" s="30">
        <f t="shared" ref="GB10:GB18" si="70">IFERROR(EQ10+IFERROR((EK10*(90000/(ED10+EH10+EK10+EL10))),),)</f>
        <v>0</v>
      </c>
      <c r="GC10" s="30">
        <f t="shared" ref="GC10:GC18" si="71">IFERROR(ER10+IFERROR((EH10*(90000/(ED10+EH10+EK10+EL10))),),)</f>
        <v>0</v>
      </c>
      <c r="GD10" s="30">
        <f t="shared" ref="GD10:GD18" si="72">IFERROR(ES10+IFERROR((EL10*(90000/ED10+EH10+EK10+EL10)),),)</f>
        <v>0</v>
      </c>
      <c r="GE10" s="30">
        <f t="shared" ref="GE10:GE18" si="73">SUM(GA10:GD10)</f>
        <v>0</v>
      </c>
      <c r="GF10" s="30">
        <f t="shared" ref="GF10:GF18" si="74">FM10+FN10+FY10+GE10</f>
        <v>5500</v>
      </c>
      <c r="GG10" s="30">
        <f t="shared" si="29"/>
        <v>0</v>
      </c>
      <c r="GH10" s="30">
        <f t="shared" si="29"/>
        <v>0</v>
      </c>
      <c r="GI10" s="30">
        <f t="shared" si="29"/>
        <v>0</v>
      </c>
      <c r="GJ10" s="30">
        <f t="shared" si="29"/>
        <v>0</v>
      </c>
      <c r="GK10" s="30">
        <f t="shared" si="29"/>
        <v>0</v>
      </c>
      <c r="GL10" s="30">
        <f t="shared" si="29"/>
        <v>0</v>
      </c>
      <c r="GM10" s="30">
        <f t="shared" si="29"/>
        <v>0</v>
      </c>
      <c r="GN10" s="30">
        <f t="shared" si="29"/>
        <v>0</v>
      </c>
      <c r="GO10" s="30">
        <f t="shared" si="29"/>
        <v>0</v>
      </c>
      <c r="GP10" s="30">
        <f t="shared" si="29"/>
        <v>0</v>
      </c>
      <c r="GQ10" s="30">
        <f t="shared" si="29"/>
        <v>0</v>
      </c>
      <c r="GR10" s="30">
        <f t="shared" si="29"/>
        <v>0</v>
      </c>
      <c r="GS10" s="30">
        <f t="shared" si="29"/>
        <v>0</v>
      </c>
      <c r="GT10" s="30">
        <f t="shared" ref="GT10:GT18" si="75">SUM(GG10:GS10)</f>
        <v>0</v>
      </c>
      <c r="GU10" s="31">
        <f t="shared" ref="GU10:GU18" si="76">GF10+GT10</f>
        <v>5500</v>
      </c>
    </row>
    <row r="11" spans="1:204" ht="15.75" customHeight="1" thickBot="1" x14ac:dyDescent="0.3">
      <c r="A11" s="33">
        <f t="shared" si="30"/>
        <v>3</v>
      </c>
      <c r="B11" s="25" t="s">
        <v>150</v>
      </c>
      <c r="C11" s="37" t="s">
        <v>159</v>
      </c>
      <c r="D11" s="25"/>
      <c r="E11" s="37" t="s">
        <v>160</v>
      </c>
      <c r="F11" s="25"/>
      <c r="G11" s="25">
        <v>10296</v>
      </c>
      <c r="H11" s="22">
        <f t="shared" si="0"/>
        <v>0</v>
      </c>
      <c r="I11" s="25">
        <v>10</v>
      </c>
      <c r="J11" s="22">
        <v>396</v>
      </c>
      <c r="K11" s="22">
        <f t="shared" si="31"/>
        <v>49.5</v>
      </c>
      <c r="L11" s="22">
        <f t="shared" si="32"/>
        <v>0.82499999999999996</v>
      </c>
      <c r="M11" s="22">
        <f t="shared" si="33"/>
        <v>3960</v>
      </c>
      <c r="N11" s="25"/>
      <c r="O11" s="22">
        <f t="shared" si="1"/>
        <v>0</v>
      </c>
      <c r="P11" s="25"/>
      <c r="Q11" s="22">
        <f t="shared" si="2"/>
        <v>0</v>
      </c>
      <c r="R11" s="25"/>
      <c r="S11" s="22">
        <f t="shared" si="3"/>
        <v>0</v>
      </c>
      <c r="T11" s="22">
        <f t="shared" si="34"/>
        <v>0</v>
      </c>
      <c r="U11" s="22">
        <f t="shared" si="35"/>
        <v>0</v>
      </c>
      <c r="V11" s="25"/>
      <c r="W11" s="22">
        <f t="shared" si="4"/>
        <v>0</v>
      </c>
      <c r="X11" s="25"/>
      <c r="Y11" s="22">
        <f t="shared" si="5"/>
        <v>0</v>
      </c>
      <c r="Z11" s="25"/>
      <c r="AA11" s="22">
        <f t="shared" si="6"/>
        <v>0</v>
      </c>
      <c r="AB11" s="25"/>
      <c r="AC11" s="22">
        <f t="shared" si="7"/>
        <v>0</v>
      </c>
      <c r="AD11" s="25">
        <v>16</v>
      </c>
      <c r="AE11" s="22">
        <f t="shared" si="8"/>
        <v>792</v>
      </c>
      <c r="AF11" s="25"/>
      <c r="AG11" s="22">
        <f t="shared" si="9"/>
        <v>0</v>
      </c>
      <c r="AH11" s="25"/>
      <c r="AI11" s="22">
        <f t="shared" si="10"/>
        <v>0</v>
      </c>
      <c r="AJ11" s="25"/>
      <c r="AK11" s="22">
        <f t="shared" si="11"/>
        <v>0</v>
      </c>
      <c r="AL11" s="22">
        <f t="shared" si="36"/>
        <v>16</v>
      </c>
      <c r="AM11" s="22">
        <f t="shared" si="36"/>
        <v>792</v>
      </c>
      <c r="AN11" s="25"/>
      <c r="AO11" s="22">
        <f t="shared" si="12"/>
        <v>0</v>
      </c>
      <c r="AP11" s="25"/>
      <c r="AQ11" s="22">
        <f t="shared" si="13"/>
        <v>0</v>
      </c>
      <c r="AR11" s="25"/>
      <c r="AS11" s="22">
        <f t="shared" si="14"/>
        <v>0</v>
      </c>
      <c r="AT11" s="25"/>
      <c r="AU11" s="22">
        <f t="shared" si="15"/>
        <v>0</v>
      </c>
      <c r="AV11" s="25"/>
      <c r="AW11" s="22">
        <f t="shared" si="16"/>
        <v>0</v>
      </c>
      <c r="AX11" s="25"/>
      <c r="AY11" s="22">
        <f t="shared" si="17"/>
        <v>0</v>
      </c>
      <c r="AZ11" s="25"/>
      <c r="BA11" s="22">
        <f t="shared" si="18"/>
        <v>0</v>
      </c>
      <c r="BB11" s="25"/>
      <c r="BC11" s="22">
        <f t="shared" si="19"/>
        <v>0</v>
      </c>
      <c r="BD11" s="25"/>
      <c r="BE11" s="22">
        <f t="shared" si="20"/>
        <v>0</v>
      </c>
      <c r="BF11" s="22">
        <f t="shared" si="37"/>
        <v>0</v>
      </c>
      <c r="BG11" s="22">
        <f t="shared" si="37"/>
        <v>0</v>
      </c>
      <c r="BH11" s="25"/>
      <c r="BI11" s="21">
        <f>IFERROR(VLOOKUP(B11,'[1]Mar1 Payroll'!$B$9:$FJ$68,66,FALSE),)</f>
        <v>0</v>
      </c>
      <c r="BJ11" s="21">
        <f>IFERROR(VLOOKUP(B11,'[1]Mar1 Payroll'!$B$9:$FJ$68,67,FALSE),)</f>
        <v>0</v>
      </c>
      <c r="BK11" s="25"/>
      <c r="BL11" s="25"/>
      <c r="BM11" s="25"/>
      <c r="BN11" s="25"/>
      <c r="BO11" s="21">
        <f t="shared" si="38"/>
        <v>0</v>
      </c>
      <c r="BP11" s="21">
        <f t="shared" si="38"/>
        <v>0</v>
      </c>
      <c r="BQ11" s="21">
        <f t="shared" si="39"/>
        <v>0</v>
      </c>
      <c r="BR11" s="21">
        <f t="shared" si="40"/>
        <v>0</v>
      </c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2">
        <f t="shared" si="41"/>
        <v>4752</v>
      </c>
      <c r="CD11" s="25"/>
      <c r="CE11" s="22">
        <f t="shared" si="21"/>
        <v>0</v>
      </c>
      <c r="CF11" s="34">
        <v>3</v>
      </c>
      <c r="CG11" s="21">
        <f t="shared" si="42"/>
        <v>-2.4749999999999996</v>
      </c>
      <c r="CH11" s="25"/>
      <c r="CI11" s="22">
        <f t="shared" si="22"/>
        <v>0</v>
      </c>
      <c r="CJ11" s="22">
        <f t="shared" si="43"/>
        <v>-2.4749999999999996</v>
      </c>
      <c r="CK11" s="35" t="str">
        <f>_xlfn.IFNA(VLOOKUP(B11,'[1]201'!$E$7:$H$66,2,FALSE),"")</f>
        <v/>
      </c>
      <c r="CL11" s="35" t="str">
        <f>_xlfn.IFNA(VLOOKUP(B11,'[1]201'!$E$7:$H$66,3,FALSE),"")</f>
        <v/>
      </c>
      <c r="CM11" s="35" t="str">
        <f>_xlfn.IFNA(VLOOKUP(B11,'[1]201'!$E$7:$H$66,4,FALSE),"")</f>
        <v/>
      </c>
      <c r="CN11" s="22">
        <f>_xlfn.IFNA(IF(CK11=0,0,IF($CN$8=1,-VLOOKUP(G11,[1]!SSSW[#Data],7,TRUE),0)),0)</f>
        <v>0</v>
      </c>
      <c r="CO11" s="22">
        <f>_xlfn.IFNA(IF(CK11=0,0,IF($CO$8=1,-VLOOKUP(M11,[1]!SSSW[#Data],7,TRUE),0)),0)</f>
        <v>0</v>
      </c>
      <c r="CP11" s="22">
        <f>_xlfn.IFNA(IF(CK11=0,0,IF($CP$8=1,-VLOOKUP(CC11+IFERROR(VLOOKUP(B11,'[1]Mar1 Payroll'!$B$9:$FJ$68,80,FALSE),),[1]!SSSW[#Data],7,TRUE),0)),0)</f>
        <v>0</v>
      </c>
      <c r="CQ11" s="22">
        <f>_xlfn.IFNA(IF(CK11=0,0,IF($CQ$8=1,-VLOOKUP(CC11,[1]!SSSW[#Data],7,TRUE),0)),0)</f>
        <v>0</v>
      </c>
      <c r="CR11" s="22">
        <f>IFERROR(IF(CQ11&lt;0,-VLOOKUP(CC11+IFERROR(VLOOKUP(B11,'[1]Mar1 Payroll'!$B$9:$FJ$68,80,FALSE),),[1]!SSSW[#Data],13,TRUE),IF(CP11&lt;0,-VLOOKUP(CC11+IFERROR(VLOOKUP(B11,'[1]Mar1 Payroll'!$B$9:$FJ$68,80,FALSE),),[1]!SSSW[#Data],13,TRUE),IF(CO11&lt;0,-VLOOKUP(G11,[1]!SSSW[#Data],13,TRUE),IF(CN11&lt;0,-VLOOKUP(G11,[1]!SSSW[#Data],13,TRUE),)))),)</f>
        <v>0</v>
      </c>
      <c r="CS11" s="22">
        <f t="shared" si="44"/>
        <v>0</v>
      </c>
      <c r="CT11" s="22">
        <f>IFERROR(IF(CN11&lt;0,-VLOOKUP(G11,[1]!SSSW[#Data],15,TRUE),IF(CQ11&lt;0,(-VLOOKUP(CC11,[1]!SSSW[#Data],15,TRUE)),IF(CP11&lt;0,-VLOOKUP(CC11+IFERROR(VLOOKUP(B11,'[1]Mar1 Payroll'!$B$9:$FJ$68,80,FALSE),),[1]!SSSW[#Data],15,TRUE),IF(CO11&lt;0,(-VLOOKUP(M11,[1]!SSSW[#Data],15,TRUE)),)))),)</f>
        <v>0</v>
      </c>
      <c r="CU11" s="22">
        <f t="shared" si="45"/>
        <v>0</v>
      </c>
      <c r="CV11" s="22">
        <f t="shared" si="46"/>
        <v>0</v>
      </c>
      <c r="CW11" s="22">
        <f t="shared" si="23"/>
        <v>0</v>
      </c>
      <c r="CX11" s="22">
        <f t="shared" si="24"/>
        <v>0</v>
      </c>
      <c r="CY11" s="22">
        <f t="shared" si="47"/>
        <v>0</v>
      </c>
      <c r="CZ11" s="25"/>
      <c r="DA11" s="25"/>
      <c r="DB11" s="25"/>
      <c r="DC11" s="22">
        <f t="shared" si="48"/>
        <v>0</v>
      </c>
      <c r="DD11" s="25"/>
      <c r="DE11" s="25"/>
      <c r="DF11" s="25"/>
      <c r="DG11" s="25"/>
      <c r="DH11" s="22">
        <f t="shared" si="49"/>
        <v>0</v>
      </c>
      <c r="DI11" s="34"/>
      <c r="DJ11" s="34"/>
      <c r="DK11" s="34"/>
      <c r="DL11" s="34"/>
      <c r="DM11" s="34"/>
      <c r="DN11" s="34"/>
      <c r="DO11" s="21">
        <f t="shared" si="50"/>
        <v>0</v>
      </c>
      <c r="DP11" s="34"/>
      <c r="DQ11" s="34"/>
      <c r="DR11" s="25"/>
      <c r="DS11" s="22">
        <f t="shared" si="51"/>
        <v>-2.4749999999999996</v>
      </c>
      <c r="DT11" s="22">
        <f t="shared" si="25"/>
        <v>4749.5249999999996</v>
      </c>
      <c r="DU11" s="22">
        <f t="shared" si="52"/>
        <v>4752</v>
      </c>
      <c r="DV11" s="25">
        <f t="shared" si="26"/>
        <v>0</v>
      </c>
      <c r="DW11" s="22">
        <f t="shared" si="53"/>
        <v>0</v>
      </c>
      <c r="DX11" s="25">
        <f t="shared" si="54"/>
        <v>0</v>
      </c>
      <c r="DY11" s="22">
        <f t="shared" si="55"/>
        <v>4749.5249999999996</v>
      </c>
      <c r="DZ11" s="26">
        <f t="shared" si="27"/>
        <v>197.89687499999999</v>
      </c>
      <c r="EB11" s="27">
        <f>IFERROR(M11+IFERROR(VLOOKUP(B11,'[1]Mar1 Payroll'!$B$9:$FJ$68,131,FALSE),),0)</f>
        <v>3960</v>
      </c>
      <c r="EC11" s="27">
        <f>IFERROR(O11+U11+AM11+BG11+BH11+IFERROR(VLOOKUP(B11,'[1]Mar1 Payroll'!$B$9:$FJ$68,132,FALSE),),)</f>
        <v>792</v>
      </c>
      <c r="ED11" s="27">
        <f t="array" ref="ED11">IFERROR(IF(BT11+BX11+BZ11+CA11+CB11+DZ11+IFERROR(SUM(VLOOKUP(B11,'[1]Mar1 Payroll'!$B$9:$FJ$68,{133,137,140,141,144,146,147,148},FALSE)),)&gt;90000,DZ11+IFERROR(SUM(VLOOKUP(B11,'[1]Mar1 Payroll'!$B$9:$FJ$68,{133,144},FALSE)),),IF(BT11+BX11+BZ11+CA11+CB11+DZ11+IFERROR(SUM(VLOOKUP(B11,'[1]Mar1 Payroll'!$B$9:$EK$68,{133,137,140,141,144,146,147,148},FALSE)),)&lt;90000,0,0)),0)</f>
        <v>0</v>
      </c>
      <c r="EE11" s="27">
        <f>IFERROR(BS11+IFERROR(VLOOKUP(B11,'[1]Mar1 Payroll'!$B$9:$FJ$68,134,FALSE),),0)</f>
        <v>0</v>
      </c>
      <c r="EF11" s="27">
        <f>IFERROR(BQ11+IFERROR(VLOOKUP(B11,'[1]Mar1 Payroll'!$B$9:$FJ$68,135,FALSE),),0)</f>
        <v>0</v>
      </c>
      <c r="EG11" s="27">
        <f>IFERROR(BR11+IFERROR(VLOOKUP(B11,'[1]Mar1 Payroll'!$B$9:$FJ$68,136,FALSE),),0)</f>
        <v>0</v>
      </c>
      <c r="EH11" s="27">
        <f t="array" ref="EH11">IFERROR(IF(BT11+BX11+BZ11+CA11+CB11+DZ11+IFERROR(SUM(VLOOKUP(B11,'[1]Mar1 Payroll'!$B$9:$FJ$68,{133,137,140,141,144,146,147,148},FALSE)),)&gt;90000,BT11+IFERROR(SUM(VLOOKUP(B11,'[1]Mar1 Payroll'!$B$9:$FJ$68,{137,147},FALSE)),),IF(BT11+BX11+BZ11+CA11+CB11+DZ11+IFERROR(SUM(VLOOKUP(B11,'[1]Mar1 Payroll'!$B$9:$EK$68,{133,137,140,141,144,146,147,148},FALSE)),)&lt;90000,0,0)),0)</f>
        <v>0</v>
      </c>
      <c r="EI11" s="27">
        <f>IFERROR(BU11+IFERROR(VLOOKUP(B11,'[1]Mar1 Payroll'!$B$9:$FJ$68,138,FALSE),),0)</f>
        <v>0</v>
      </c>
      <c r="EJ11" s="27">
        <f>IFERROR(BV11+IFERROR(VLOOKUP(B11,'[1]Mar1 Payroll'!$B$9:$FJ$68,139,FALSE),),0)</f>
        <v>0</v>
      </c>
      <c r="EK11" s="27">
        <f t="array" ref="EK11">IFERROR(IF(BT11+BX11+BZ11+CA11+CB11+DZ11+IFERROR(SUM(VLOOKUP(B11,'[1]Mar1 Payroll'!$B$9:$FJ$68,{133,137,140,141,144,146,147,148},FALSE)),)&gt;90000,BX11+IFERROR(SUM(VLOOKUP(B11,'[1]Mar1 Payroll'!$B$9:$FJ$68,{140,146},FALSE)),),IF(BT11+BX11+BZ11+CA11+CB11+DZ11+IFERROR(SUM(VLOOKUP(B11,'[1]Mar1 Payroll'!$B$9:$EK$68,{133,137,140,141,144,146,147,148},FALSE)),)&lt;90000,0,0)),0)</f>
        <v>0</v>
      </c>
      <c r="EL11" s="27">
        <f t="array" ref="EL11">IFERROR(IF(BT11+BX11+BZ11+CA11+CB11+DZ11+IFERROR(SUM(VLOOKUP(B11,'[1]Mar1 Payroll'!$B$9:$FJ$68,{133,137,140,141,144,146,147,148},FALSE)),)&gt;90000,BZ11+CA11+CB11+IFERROR(SUM(VLOOKUP(B11,'[1]Mar1 Payroll'!$B$9:$FJ$68,{141,148},FALSE)),),IF(BT11+BX11+BZ11+CA11+CB11+DZ11+IFERROR(SUM(VLOOKUP(B11,'[1]Mar1 Payroll'!$B$9:$EK$68,{133,137,140,141,144,146,147,148},FALSE)),)&lt;90000,0,0)),0)</f>
        <v>0</v>
      </c>
      <c r="EM11" s="27">
        <f t="shared" si="56"/>
        <v>0</v>
      </c>
      <c r="EN11" s="27">
        <f t="shared" si="57"/>
        <v>0</v>
      </c>
      <c r="EO11" s="27">
        <f t="array" ref="EO11">IFERROR(IF(BT11+BX11+BZ11+CA11+CB11+DZ11+IFERROR(SUM(VLOOKUP(B11,'[1]Mar1 Payroll'!$B$9:$FJ$68,{133,137,140,141,144,146,147,148},FALSE)),)&gt;90000,0,IF(BT11+BX11+BZ11+CA11+CB11+DZ11+IFERROR(SUM(VLOOKUP(B11,'[1]Mar1 Payroll'!$B$9:$EK$68,{133,137,140,141,144,146,147,148},FALSE)),)&lt;90000,DZ11+IFERROR(SUM(VLOOKUP(B11,'[1]Mar1 Payroll'!$B$9:$FJ$68,{133,144},FALSE)),),)),)</f>
        <v>197.89687499999999</v>
      </c>
      <c r="EP11" s="27">
        <f>IFERROR(BY11+IFERROR(VLOOKUP(B11,'[1]Mar1 Payroll'!$B$9:$FJ$68,145,FALSE),),0)</f>
        <v>0</v>
      </c>
      <c r="EQ11" s="27">
        <f t="array" ref="EQ11">IFERROR(IF(BT11+BX11+BZ11+CA11+CB11+DZ11+IFERROR(SUM(VLOOKUP(B11,'[1]Mar1 Payroll'!$B$9:$FJ$68,{133,137,140,141,144,146,147,148},FALSE)),)&gt;90000,0,IF(BT11+BX11+BZ11+CA11+CB11+DZ11+IFERROR(SUM(VLOOKUP(B11,'[1]Mar1 Payroll'!$B$9:$EK$68,{133,137,140,141,144,146,147,148},FALSE)),)&lt;90000,BX11+IFERROR(SUM(VLOOKUP(B11,'[1]Mar1 Payroll'!$B$9:$FJ$68,{140,146},FALSE)),))),0)</f>
        <v>0</v>
      </c>
      <c r="ER11" s="27">
        <f t="array" ref="ER11">IFERROR(IF(BT11+BX11+BZ11+CA11+CB11+DZ11+IFERROR(SUM(VLOOKUP(B11,'[1]Mar1 Payroll'!$B$9:$FJ$68,{133,137,140,141,144,146,147,148},FALSE)),)&gt;90000,0,IF(BT11+BX11+BZ11+CA11+CB11+DZ11+IFERROR(SUM(VLOOKUP(B11,'[1]Mar1 Payroll'!$B$9:$EK$68,{133,137,140,141,144,146,147,148},FALSE)),)&lt;90000,BT11+IFERROR(SUM(VLOOKUP(B11,'[1]Mar1 Payroll'!$B$9:$FJ$68,{137,147},FALSE)),))),0)</f>
        <v>0</v>
      </c>
      <c r="ES11" s="27">
        <f t="array" ref="ES11">IFERROR(IF(BT11+BX11+BZ11+CA11+CB11+DZ11+IFERROR(SUM(VLOOKUP(B11,'[1]Mar1 Payroll'!$B$9:$FJ$68,{133,137,140,141,144,146,147,148},FALSE)),)&gt;90000,0,IF(BT11+BX11+BZ11+CA11+CB11+DZ11+IFERROR(SUM(VLOOKUP(B11,'[1]Mar1 Payroll'!$B$9:$EK$68,{133,137,140,141,144,146,147,148},FALSE)),)&lt;90000,BZ11+CA11+CB11+IFERROR(SUM(VLOOKUP(B11,'[1]Mar1 Payroll'!$B$9:$FJ$68,{141,148},FALSE)),))),0)</f>
        <v>0</v>
      </c>
      <c r="ET11" s="27">
        <f t="shared" si="58"/>
        <v>0</v>
      </c>
      <c r="EU11" s="27">
        <f t="shared" si="59"/>
        <v>4752</v>
      </c>
      <c r="EV11" s="27">
        <f>IFERROR(DV11+DW11+DX11+IFERROR(VLOOKUP(B11,'[1]Mar1 Payroll'!$B$9:$FJ$68,151,FALSE),),0)</f>
        <v>0</v>
      </c>
      <c r="EW11" s="27">
        <f>IFERROR(CS11+IFERROR(VLOOKUP(B11,'[1]Mar1 Payroll'!$B$9:$FJ$68,152,FALSE),),0)</f>
        <v>0</v>
      </c>
      <c r="EX11" s="27">
        <f>IFERROR(CU11+CV11+IFERROR(VLOOKUP(B11,'[1]Mar1 Payroll'!$B$9:$FJ$68,153,FALSE),),0)</f>
        <v>0</v>
      </c>
      <c r="EY11" s="27">
        <f>IFERROR(CW11+CX11+IFERROR(VLOOKUP(B11,'[1]Mar1 Payroll'!$B$9:$FJ$68,154,FALSE),),0)</f>
        <v>0</v>
      </c>
      <c r="EZ11" s="27">
        <f>IFERROR(CJ11+IFERROR(VLOOKUP(B11,'[1]Mar1 Payroll'!$B$9:$FJ$68,155,FALSE),),0)</f>
        <v>-2.4749999999999996</v>
      </c>
      <c r="FA11" s="27">
        <f>IFERROR(DP11+DQ11+DR11+IFERROR(VLOOKUP(B11,'[1]Mar1 Payroll'!$B$9:$FJ$68,156,FALSE),),0)</f>
        <v>0</v>
      </c>
      <c r="FB11" s="27">
        <f>IFERROR(CZ11+IFERROR(VLOOKUP(B11,'[1]Mar1 Payroll'!$B$9:$FJ$68,157,FALSE),),0)</f>
        <v>0</v>
      </c>
      <c r="FC11" s="27">
        <f>IFERROR(DA11+IFERROR(VLOOKUP(B11,'[1]Mar1 Payroll'!$B$9:$FJ$68,158,FALSE),),0)</f>
        <v>0</v>
      </c>
      <c r="FD11" s="27">
        <f>IFERROR(DB11+IFERROR(VLOOKUP(B11,'[1]Mar1 Payroll'!$B$9:$FJ$68,159,FALSE),),0)</f>
        <v>0</v>
      </c>
      <c r="FE11" s="27">
        <f>IFERROR(DD11+IFERROR(VLOOKUP(B11,'[1]Mar1 Payroll'!$B$9:$FJ$68,160,FALSE),),0)</f>
        <v>0</v>
      </c>
      <c r="FF11" s="27">
        <f>IFERROR(DE11+IFERROR(VLOOKUP(B11,'[1]Mar1 Payroll'!$B$9:$FJ$68,161,FALSE),),0)</f>
        <v>0</v>
      </c>
      <c r="FG11" s="27">
        <f>IFERROR(DF11+IFERROR(VLOOKUP(B11,'[1]Mar1 Payroll'!$B$9:$FJ$68,162,FALSE),),0)</f>
        <v>0</v>
      </c>
      <c r="FH11" s="27">
        <f>IFERROR(DG11+IFERROR(VLOOKUP(B11,'[1]Mar1 Payroll'!$B$9:$FJ$68,163,FALSE),),0)</f>
        <v>0</v>
      </c>
      <c r="FI11" s="27">
        <f t="shared" si="60"/>
        <v>-2.4749999999999996</v>
      </c>
      <c r="FJ11" s="28">
        <f t="shared" si="61"/>
        <v>4749.5249999999996</v>
      </c>
      <c r="FM11" s="29">
        <f t="shared" si="62"/>
        <v>3960</v>
      </c>
      <c r="FN11" s="30">
        <f t="shared" si="28"/>
        <v>792</v>
      </c>
      <c r="FO11" s="30">
        <f t="shared" si="63"/>
        <v>0</v>
      </c>
      <c r="FP11" s="30">
        <f t="shared" si="28"/>
        <v>0</v>
      </c>
      <c r="FQ11" s="30">
        <f t="shared" si="28"/>
        <v>0</v>
      </c>
      <c r="FR11" s="30">
        <f t="shared" si="28"/>
        <v>0</v>
      </c>
      <c r="FS11" s="30">
        <f t="shared" si="64"/>
        <v>0</v>
      </c>
      <c r="FT11" s="30">
        <f t="shared" si="28"/>
        <v>0</v>
      </c>
      <c r="FU11" s="30">
        <f t="shared" si="28"/>
        <v>0</v>
      </c>
      <c r="FV11" s="30">
        <f t="shared" si="65"/>
        <v>0</v>
      </c>
      <c r="FW11" s="30">
        <f t="shared" si="66"/>
        <v>0</v>
      </c>
      <c r="FX11" s="30">
        <f t="shared" si="67"/>
        <v>0</v>
      </c>
      <c r="FY11" s="30">
        <f t="shared" si="68"/>
        <v>0</v>
      </c>
      <c r="FZ11" s="30">
        <f t="shared" si="69"/>
        <v>197.89687499999999</v>
      </c>
      <c r="GA11" s="30">
        <f t="shared" si="28"/>
        <v>0</v>
      </c>
      <c r="GB11" s="30">
        <f t="shared" si="70"/>
        <v>0</v>
      </c>
      <c r="GC11" s="30">
        <f t="shared" si="71"/>
        <v>0</v>
      </c>
      <c r="GD11" s="30">
        <f t="shared" si="72"/>
        <v>0</v>
      </c>
      <c r="GE11" s="30">
        <f t="shared" si="73"/>
        <v>0</v>
      </c>
      <c r="GF11" s="30">
        <f t="shared" si="74"/>
        <v>4752</v>
      </c>
      <c r="GG11" s="30">
        <f t="shared" si="29"/>
        <v>0</v>
      </c>
      <c r="GH11" s="30">
        <f t="shared" si="29"/>
        <v>0</v>
      </c>
      <c r="GI11" s="30">
        <f t="shared" si="29"/>
        <v>0</v>
      </c>
      <c r="GJ11" s="30">
        <f t="shared" si="29"/>
        <v>0</v>
      </c>
      <c r="GK11" s="30">
        <f t="shared" si="29"/>
        <v>-2.4749999999999996</v>
      </c>
      <c r="GL11" s="30">
        <f t="shared" si="29"/>
        <v>0</v>
      </c>
      <c r="GM11" s="30">
        <f t="shared" si="29"/>
        <v>0</v>
      </c>
      <c r="GN11" s="30">
        <f t="shared" si="29"/>
        <v>0</v>
      </c>
      <c r="GO11" s="30">
        <f t="shared" si="29"/>
        <v>0</v>
      </c>
      <c r="GP11" s="30">
        <f t="shared" si="29"/>
        <v>0</v>
      </c>
      <c r="GQ11" s="30">
        <f t="shared" si="29"/>
        <v>0</v>
      </c>
      <c r="GR11" s="30">
        <f t="shared" si="29"/>
        <v>0</v>
      </c>
      <c r="GS11" s="30">
        <f t="shared" si="29"/>
        <v>0</v>
      </c>
      <c r="GT11" s="30">
        <f t="shared" si="75"/>
        <v>-2.4749999999999996</v>
      </c>
      <c r="GU11" s="31">
        <f t="shared" si="76"/>
        <v>4749.5249999999996</v>
      </c>
    </row>
    <row r="12" spans="1:204" ht="15.75" customHeight="1" thickBot="1" x14ac:dyDescent="0.3">
      <c r="A12" s="33">
        <f t="shared" si="30"/>
        <v>4</v>
      </c>
      <c r="B12" s="25" t="s">
        <v>151</v>
      </c>
      <c r="C12" s="37" t="s">
        <v>159</v>
      </c>
      <c r="D12" s="25"/>
      <c r="E12" s="37" t="s">
        <v>160</v>
      </c>
      <c r="F12" s="25"/>
      <c r="G12" s="25">
        <v>10296</v>
      </c>
      <c r="H12" s="22">
        <f t="shared" si="0"/>
        <v>5148</v>
      </c>
      <c r="I12" s="25"/>
      <c r="J12" s="22">
        <v>396</v>
      </c>
      <c r="K12" s="22">
        <f t="shared" si="31"/>
        <v>49.5</v>
      </c>
      <c r="L12" s="22">
        <f t="shared" si="32"/>
        <v>0.82499999999999996</v>
      </c>
      <c r="M12" s="22">
        <f t="shared" si="33"/>
        <v>5148</v>
      </c>
      <c r="N12" s="25"/>
      <c r="O12" s="22">
        <f t="shared" si="1"/>
        <v>0</v>
      </c>
      <c r="P12" s="25"/>
      <c r="Q12" s="22">
        <f t="shared" si="2"/>
        <v>0</v>
      </c>
      <c r="R12" s="25"/>
      <c r="S12" s="22">
        <f t="shared" si="3"/>
        <v>0</v>
      </c>
      <c r="T12" s="22">
        <f t="shared" si="34"/>
        <v>0</v>
      </c>
      <c r="U12" s="22">
        <f t="shared" si="35"/>
        <v>0</v>
      </c>
      <c r="V12" s="25"/>
      <c r="W12" s="22">
        <f t="shared" si="4"/>
        <v>0</v>
      </c>
      <c r="X12" s="25"/>
      <c r="Y12" s="22">
        <f t="shared" si="5"/>
        <v>0</v>
      </c>
      <c r="Z12" s="25"/>
      <c r="AA12" s="22">
        <f t="shared" si="6"/>
        <v>0</v>
      </c>
      <c r="AB12" s="25"/>
      <c r="AC12" s="22">
        <f t="shared" si="7"/>
        <v>0</v>
      </c>
      <c r="AD12" s="25"/>
      <c r="AE12" s="22">
        <f t="shared" si="8"/>
        <v>0</v>
      </c>
      <c r="AF12" s="25"/>
      <c r="AG12" s="22">
        <f t="shared" si="9"/>
        <v>0</v>
      </c>
      <c r="AH12" s="25"/>
      <c r="AI12" s="22">
        <f t="shared" si="10"/>
        <v>0</v>
      </c>
      <c r="AJ12" s="25"/>
      <c r="AK12" s="22">
        <f t="shared" si="11"/>
        <v>0</v>
      </c>
      <c r="AL12" s="22">
        <f t="shared" si="36"/>
        <v>0</v>
      </c>
      <c r="AM12" s="22">
        <f t="shared" si="36"/>
        <v>0</v>
      </c>
      <c r="AN12" s="25"/>
      <c r="AO12" s="22">
        <f t="shared" si="12"/>
        <v>0</v>
      </c>
      <c r="AP12" s="25"/>
      <c r="AQ12" s="22">
        <f t="shared" si="13"/>
        <v>0</v>
      </c>
      <c r="AR12" s="25"/>
      <c r="AS12" s="22">
        <f t="shared" si="14"/>
        <v>0</v>
      </c>
      <c r="AT12" s="25"/>
      <c r="AU12" s="22">
        <f t="shared" si="15"/>
        <v>0</v>
      </c>
      <c r="AV12" s="25"/>
      <c r="AW12" s="22">
        <f t="shared" si="16"/>
        <v>0</v>
      </c>
      <c r="AX12" s="25"/>
      <c r="AY12" s="22">
        <f t="shared" si="17"/>
        <v>0</v>
      </c>
      <c r="AZ12" s="25"/>
      <c r="BA12" s="22">
        <f t="shared" si="18"/>
        <v>0</v>
      </c>
      <c r="BB12" s="25"/>
      <c r="BC12" s="22">
        <f t="shared" si="19"/>
        <v>0</v>
      </c>
      <c r="BD12" s="25"/>
      <c r="BE12" s="22">
        <f t="shared" si="20"/>
        <v>0</v>
      </c>
      <c r="BF12" s="22">
        <f t="shared" si="37"/>
        <v>0</v>
      </c>
      <c r="BG12" s="22">
        <f t="shared" si="37"/>
        <v>0</v>
      </c>
      <c r="BH12" s="25"/>
      <c r="BI12" s="21">
        <f>IFERROR(VLOOKUP(B12,'[1]Mar1 Payroll'!$B$9:$FJ$68,66,FALSE),)</f>
        <v>0</v>
      </c>
      <c r="BJ12" s="21">
        <f>IFERROR(VLOOKUP(B12,'[1]Mar1 Payroll'!$B$9:$FJ$68,67,FALSE),)</f>
        <v>0</v>
      </c>
      <c r="BK12" s="25"/>
      <c r="BL12" s="25"/>
      <c r="BM12" s="25"/>
      <c r="BN12" s="25"/>
      <c r="BO12" s="21">
        <f t="shared" si="38"/>
        <v>0</v>
      </c>
      <c r="BP12" s="21">
        <f t="shared" si="38"/>
        <v>0</v>
      </c>
      <c r="BQ12" s="21">
        <f t="shared" si="39"/>
        <v>0</v>
      </c>
      <c r="BR12" s="21">
        <f t="shared" si="40"/>
        <v>0</v>
      </c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2">
        <f t="shared" si="41"/>
        <v>5148</v>
      </c>
      <c r="CD12" s="25"/>
      <c r="CE12" s="22">
        <f t="shared" si="21"/>
        <v>0</v>
      </c>
      <c r="CF12" s="34"/>
      <c r="CG12" s="21">
        <f t="shared" si="42"/>
        <v>0</v>
      </c>
      <c r="CH12" s="25"/>
      <c r="CI12" s="22">
        <f t="shared" si="22"/>
        <v>0</v>
      </c>
      <c r="CJ12" s="22">
        <f t="shared" si="43"/>
        <v>0</v>
      </c>
      <c r="CK12" s="35" t="str">
        <f>_xlfn.IFNA(VLOOKUP(B12,'[1]201'!$E$7:$H$66,2,FALSE),"")</f>
        <v/>
      </c>
      <c r="CL12" s="35" t="str">
        <f>_xlfn.IFNA(VLOOKUP(B12,'[1]201'!$E$7:$H$66,3,FALSE),"")</f>
        <v/>
      </c>
      <c r="CM12" s="35" t="str">
        <f>_xlfn.IFNA(VLOOKUP(B12,'[1]201'!$E$7:$H$66,4,FALSE),"")</f>
        <v/>
      </c>
      <c r="CN12" s="22">
        <f>_xlfn.IFNA(IF(CK12=0,0,IF($CN$8=1,-VLOOKUP(G12,[1]!SSSW[#Data],7,TRUE),0)),0)</f>
        <v>0</v>
      </c>
      <c r="CO12" s="22">
        <f>_xlfn.IFNA(IF(CK12=0,0,IF($CO$8=1,-VLOOKUP(M12,[1]!SSSW[#Data],7,TRUE),0)),0)</f>
        <v>0</v>
      </c>
      <c r="CP12" s="22">
        <f>_xlfn.IFNA(IF(CK12=0,0,IF($CP$8=1,-VLOOKUP(CC12+IFERROR(VLOOKUP(B12,'[1]Mar1 Payroll'!$B$9:$FJ$68,80,FALSE),),[1]!SSSW[#Data],7,TRUE),0)),0)</f>
        <v>0</v>
      </c>
      <c r="CQ12" s="22">
        <f>_xlfn.IFNA(IF(CK12=0,0,IF($CQ$8=1,-VLOOKUP(CC12,[1]!SSSW[#Data],7,TRUE),0)),0)</f>
        <v>0</v>
      </c>
      <c r="CR12" s="22">
        <f>IFERROR(IF(CQ12&lt;0,-VLOOKUP(CC12+IFERROR(VLOOKUP(B12,'[1]Mar1 Payroll'!$B$9:$FJ$68,80,FALSE),),[1]!SSSW[#Data],13,TRUE),IF(CP12&lt;0,-VLOOKUP(CC12+IFERROR(VLOOKUP(B12,'[1]Mar1 Payroll'!$B$9:$FJ$68,80,FALSE),),[1]!SSSW[#Data],13,TRUE),IF(CO12&lt;0,-VLOOKUP(G12,[1]!SSSW[#Data],13,TRUE),IF(CN12&lt;0,-VLOOKUP(G12,[1]!SSSW[#Data],13,TRUE),)))),)</f>
        <v>0</v>
      </c>
      <c r="CS12" s="22">
        <f t="shared" si="44"/>
        <v>0</v>
      </c>
      <c r="CT12" s="22">
        <f>IFERROR(IF(CN12&lt;0,-VLOOKUP(G12,[1]!SSSW[#Data],15,TRUE),IF(CQ12&lt;0,(-VLOOKUP(CC12,[1]!SSSW[#Data],15,TRUE)),IF(CP12&lt;0,-VLOOKUP(CC12+IFERROR(VLOOKUP(B12,'[1]Mar1 Payroll'!$B$9:$FJ$68,80,FALSE),),[1]!SSSW[#Data],15,TRUE),IF(CO12&lt;0,(-VLOOKUP(M12,[1]!SSSW[#Data],15,TRUE)),)))),)</f>
        <v>0</v>
      </c>
      <c r="CU12" s="22">
        <f t="shared" si="45"/>
        <v>0</v>
      </c>
      <c r="CV12" s="22">
        <f t="shared" si="46"/>
        <v>0</v>
      </c>
      <c r="CW12" s="22">
        <f t="shared" si="23"/>
        <v>0</v>
      </c>
      <c r="CX12" s="22">
        <f t="shared" si="24"/>
        <v>0</v>
      </c>
      <c r="CY12" s="22">
        <f t="shared" si="47"/>
        <v>0</v>
      </c>
      <c r="CZ12" s="25"/>
      <c r="DA12" s="25"/>
      <c r="DB12" s="25"/>
      <c r="DC12" s="22">
        <f t="shared" si="48"/>
        <v>0</v>
      </c>
      <c r="DD12" s="25"/>
      <c r="DE12" s="25"/>
      <c r="DF12" s="25"/>
      <c r="DG12" s="25"/>
      <c r="DH12" s="22">
        <f t="shared" si="49"/>
        <v>0</v>
      </c>
      <c r="DI12" s="34"/>
      <c r="DJ12" s="34"/>
      <c r="DK12" s="34"/>
      <c r="DL12" s="34"/>
      <c r="DM12" s="34"/>
      <c r="DN12" s="34"/>
      <c r="DO12" s="21">
        <f t="shared" si="50"/>
        <v>0</v>
      </c>
      <c r="DP12" s="34"/>
      <c r="DQ12" s="34"/>
      <c r="DR12" s="25"/>
      <c r="DS12" s="22">
        <f t="shared" si="51"/>
        <v>0</v>
      </c>
      <c r="DT12" s="22">
        <f t="shared" si="25"/>
        <v>5148</v>
      </c>
      <c r="DU12" s="22">
        <f t="shared" si="52"/>
        <v>5148</v>
      </c>
      <c r="DV12" s="25">
        <f t="shared" si="26"/>
        <v>0</v>
      </c>
      <c r="DW12" s="22">
        <f t="shared" si="53"/>
        <v>0</v>
      </c>
      <c r="DX12" s="25">
        <f t="shared" si="54"/>
        <v>0</v>
      </c>
      <c r="DY12" s="22">
        <f t="shared" si="55"/>
        <v>5148</v>
      </c>
      <c r="DZ12" s="26">
        <f t="shared" si="27"/>
        <v>214.5</v>
      </c>
      <c r="EB12" s="27">
        <f>IFERROR(M12+IFERROR(VLOOKUP(B12,'[1]Mar1 Payroll'!$B$9:$FJ$68,131,FALSE),),0)</f>
        <v>5148</v>
      </c>
      <c r="EC12" s="27">
        <f>IFERROR(O12+U12+AM12+BG12+BH12+IFERROR(VLOOKUP(B12,'[1]Mar1 Payroll'!$B$9:$FJ$68,132,FALSE),),)</f>
        <v>0</v>
      </c>
      <c r="ED12" s="27">
        <f t="array" ref="ED12">IFERROR(IF(BT12+BX12+BZ12+CA12+CB12+DZ12+IFERROR(SUM(VLOOKUP(B12,'[1]Mar1 Payroll'!$B$9:$FJ$68,{133,137,140,141,144,146,147,148},FALSE)),)&gt;90000,DZ12+IFERROR(SUM(VLOOKUP(B12,'[1]Mar1 Payroll'!$B$9:$FJ$68,{133,144},FALSE)),),IF(BT12+BX12+BZ12+CA12+CB12+DZ12+IFERROR(SUM(VLOOKUP(B12,'[1]Mar1 Payroll'!$B$9:$EK$68,{133,137,140,141,144,146,147,148},FALSE)),)&lt;90000,0,0)),0)</f>
        <v>0</v>
      </c>
      <c r="EE12" s="27">
        <f>IFERROR(BS12+IFERROR(VLOOKUP(B12,'[1]Mar1 Payroll'!$B$9:$FJ$68,134,FALSE),),0)</f>
        <v>0</v>
      </c>
      <c r="EF12" s="27">
        <f>IFERROR(BQ12+IFERROR(VLOOKUP(B12,'[1]Mar1 Payroll'!$B$9:$FJ$68,135,FALSE),),0)</f>
        <v>0</v>
      </c>
      <c r="EG12" s="27">
        <f>IFERROR(BR12+IFERROR(VLOOKUP(B12,'[1]Mar1 Payroll'!$B$9:$FJ$68,136,FALSE),),0)</f>
        <v>0</v>
      </c>
      <c r="EH12" s="27">
        <f t="array" ref="EH12">IFERROR(IF(BT12+BX12+BZ12+CA12+CB12+DZ12+IFERROR(SUM(VLOOKUP(B12,'[1]Mar1 Payroll'!$B$9:$FJ$68,{133,137,140,141,144,146,147,148},FALSE)),)&gt;90000,BT12+IFERROR(SUM(VLOOKUP(B12,'[1]Mar1 Payroll'!$B$9:$FJ$68,{137,147},FALSE)),),IF(BT12+BX12+BZ12+CA12+CB12+DZ12+IFERROR(SUM(VLOOKUP(B12,'[1]Mar1 Payroll'!$B$9:$EK$68,{133,137,140,141,144,146,147,148},FALSE)),)&lt;90000,0,0)),0)</f>
        <v>0</v>
      </c>
      <c r="EI12" s="27">
        <f>IFERROR(BU12+IFERROR(VLOOKUP(B12,'[1]Mar1 Payroll'!$B$9:$FJ$68,138,FALSE),),0)</f>
        <v>0</v>
      </c>
      <c r="EJ12" s="27">
        <f>IFERROR(BV12+IFERROR(VLOOKUP(B12,'[1]Mar1 Payroll'!$B$9:$FJ$68,139,FALSE),),0)</f>
        <v>0</v>
      </c>
      <c r="EK12" s="27">
        <f t="array" ref="EK12">IFERROR(IF(BT12+BX12+BZ12+CA12+CB12+DZ12+IFERROR(SUM(VLOOKUP(B12,'[1]Mar1 Payroll'!$B$9:$FJ$68,{133,137,140,141,144,146,147,148},FALSE)),)&gt;90000,BX12+IFERROR(SUM(VLOOKUP(B12,'[1]Mar1 Payroll'!$B$9:$FJ$68,{140,146},FALSE)),),IF(BT12+BX12+BZ12+CA12+CB12+DZ12+IFERROR(SUM(VLOOKUP(B12,'[1]Mar1 Payroll'!$B$9:$EK$68,{133,137,140,141,144,146,147,148},FALSE)),)&lt;90000,0,0)),0)</f>
        <v>0</v>
      </c>
      <c r="EL12" s="27">
        <f t="array" ref="EL12">IFERROR(IF(BT12+BX12+BZ12+CA12+CB12+DZ12+IFERROR(SUM(VLOOKUP(B12,'[1]Mar1 Payroll'!$B$9:$FJ$68,{133,137,140,141,144,146,147,148},FALSE)),)&gt;90000,BZ12+CA12+CB12+IFERROR(SUM(VLOOKUP(B12,'[1]Mar1 Payroll'!$B$9:$FJ$68,{141,148},FALSE)),),IF(BT12+BX12+BZ12+CA12+CB12+DZ12+IFERROR(SUM(VLOOKUP(B12,'[1]Mar1 Payroll'!$B$9:$EK$68,{133,137,140,141,144,146,147,148},FALSE)),)&lt;90000,0,0)),0)</f>
        <v>0</v>
      </c>
      <c r="EM12" s="27">
        <f t="shared" si="56"/>
        <v>0</v>
      </c>
      <c r="EN12" s="27">
        <f t="shared" si="57"/>
        <v>0</v>
      </c>
      <c r="EO12" s="27">
        <f t="array" ref="EO12">IFERROR(IF(BT12+BX12+BZ12+CA12+CB12+DZ12+IFERROR(SUM(VLOOKUP(B12,'[1]Mar1 Payroll'!$B$9:$FJ$68,{133,137,140,141,144,146,147,148},FALSE)),)&gt;90000,0,IF(BT12+BX12+BZ12+CA12+CB12+DZ12+IFERROR(SUM(VLOOKUP(B12,'[1]Mar1 Payroll'!$B$9:$EK$68,{133,137,140,141,144,146,147,148},FALSE)),)&lt;90000,DZ12+IFERROR(SUM(VLOOKUP(B12,'[1]Mar1 Payroll'!$B$9:$FJ$68,{133,144},FALSE)),),)),)</f>
        <v>214.5</v>
      </c>
      <c r="EP12" s="27">
        <f>IFERROR(BY12+IFERROR(VLOOKUP(B12,'[1]Mar1 Payroll'!$B$9:$FJ$68,145,FALSE),),0)</f>
        <v>0</v>
      </c>
      <c r="EQ12" s="27">
        <f t="array" ref="EQ12">IFERROR(IF(BT12+BX12+BZ12+CA12+CB12+DZ12+IFERROR(SUM(VLOOKUP(B12,'[1]Mar1 Payroll'!$B$9:$FJ$68,{133,137,140,141,144,146,147,148},FALSE)),)&gt;90000,0,IF(BT12+BX12+BZ12+CA12+CB12+DZ12+IFERROR(SUM(VLOOKUP(B12,'[1]Mar1 Payroll'!$B$9:$EK$68,{133,137,140,141,144,146,147,148},FALSE)),)&lt;90000,BX12+IFERROR(SUM(VLOOKUP(B12,'[1]Mar1 Payroll'!$B$9:$FJ$68,{140,146},FALSE)),))),0)</f>
        <v>0</v>
      </c>
      <c r="ER12" s="27">
        <f t="array" ref="ER12">IFERROR(IF(BT12+BX12+BZ12+CA12+CB12+DZ12+IFERROR(SUM(VLOOKUP(B12,'[1]Mar1 Payroll'!$B$9:$FJ$68,{133,137,140,141,144,146,147,148},FALSE)),)&gt;90000,0,IF(BT12+BX12+BZ12+CA12+CB12+DZ12+IFERROR(SUM(VLOOKUP(B12,'[1]Mar1 Payroll'!$B$9:$EK$68,{133,137,140,141,144,146,147,148},FALSE)),)&lt;90000,BT12+IFERROR(SUM(VLOOKUP(B12,'[1]Mar1 Payroll'!$B$9:$FJ$68,{137,147},FALSE)),))),0)</f>
        <v>0</v>
      </c>
      <c r="ES12" s="27">
        <f t="array" ref="ES12">IFERROR(IF(BT12+BX12+BZ12+CA12+CB12+DZ12+IFERROR(SUM(VLOOKUP(B12,'[1]Mar1 Payroll'!$B$9:$FJ$68,{133,137,140,141,144,146,147,148},FALSE)),)&gt;90000,0,IF(BT12+BX12+BZ12+CA12+CB12+DZ12+IFERROR(SUM(VLOOKUP(B12,'[1]Mar1 Payroll'!$B$9:$EK$68,{133,137,140,141,144,146,147,148},FALSE)),)&lt;90000,BZ12+CA12+CB12+IFERROR(SUM(VLOOKUP(B12,'[1]Mar1 Payroll'!$B$9:$FJ$68,{141,148},FALSE)),))),0)</f>
        <v>0</v>
      </c>
      <c r="ET12" s="27">
        <f t="shared" si="58"/>
        <v>0</v>
      </c>
      <c r="EU12" s="27">
        <f t="shared" si="59"/>
        <v>5148</v>
      </c>
      <c r="EV12" s="27">
        <f>IFERROR(DV12+DW12+DX12+IFERROR(VLOOKUP(B12,'[1]Mar1 Payroll'!$B$9:$FJ$68,151,FALSE),),0)</f>
        <v>0</v>
      </c>
      <c r="EW12" s="27">
        <f>IFERROR(CS12+IFERROR(VLOOKUP(B12,'[1]Mar1 Payroll'!$B$9:$FJ$68,152,FALSE),),0)</f>
        <v>0</v>
      </c>
      <c r="EX12" s="27">
        <f>IFERROR(CU12+CV12+IFERROR(VLOOKUP(B12,'[1]Mar1 Payroll'!$B$9:$FJ$68,153,FALSE),),0)</f>
        <v>0</v>
      </c>
      <c r="EY12" s="27">
        <f>IFERROR(CW12+CX12+IFERROR(VLOOKUP(B12,'[1]Mar1 Payroll'!$B$9:$FJ$68,154,FALSE),),0)</f>
        <v>0</v>
      </c>
      <c r="EZ12" s="27">
        <f>IFERROR(CJ12+IFERROR(VLOOKUP(B12,'[1]Mar1 Payroll'!$B$9:$FJ$68,155,FALSE),),0)</f>
        <v>0</v>
      </c>
      <c r="FA12" s="27">
        <f>IFERROR(DP12+DQ12+DR12+IFERROR(VLOOKUP(B12,'[1]Mar1 Payroll'!$B$9:$FJ$68,156,FALSE),),0)</f>
        <v>0</v>
      </c>
      <c r="FB12" s="27">
        <f>IFERROR(CZ12+IFERROR(VLOOKUP(B12,'[1]Mar1 Payroll'!$B$9:$FJ$68,157,FALSE),),0)</f>
        <v>0</v>
      </c>
      <c r="FC12" s="27">
        <f>IFERROR(DA12+IFERROR(VLOOKUP(B12,'[1]Mar1 Payroll'!$B$9:$FJ$68,158,FALSE),),0)</f>
        <v>0</v>
      </c>
      <c r="FD12" s="27">
        <f>IFERROR(DB12+IFERROR(VLOOKUP(B12,'[1]Mar1 Payroll'!$B$9:$FJ$68,159,FALSE),),0)</f>
        <v>0</v>
      </c>
      <c r="FE12" s="27">
        <f>IFERROR(DD12+IFERROR(VLOOKUP(B12,'[1]Mar1 Payroll'!$B$9:$FJ$68,160,FALSE),),0)</f>
        <v>0</v>
      </c>
      <c r="FF12" s="27">
        <f>IFERROR(DE12+IFERROR(VLOOKUP(B12,'[1]Mar1 Payroll'!$B$9:$FJ$68,161,FALSE),),0)</f>
        <v>0</v>
      </c>
      <c r="FG12" s="27">
        <f>IFERROR(DF12+IFERROR(VLOOKUP(B12,'[1]Mar1 Payroll'!$B$9:$FJ$68,162,FALSE),),0)</f>
        <v>0</v>
      </c>
      <c r="FH12" s="27">
        <f>IFERROR(DG12+IFERROR(VLOOKUP(B12,'[1]Mar1 Payroll'!$B$9:$FJ$68,163,FALSE),),0)</f>
        <v>0</v>
      </c>
      <c r="FI12" s="27">
        <f t="shared" si="60"/>
        <v>0</v>
      </c>
      <c r="FJ12" s="28">
        <f t="shared" si="61"/>
        <v>5148</v>
      </c>
      <c r="FM12" s="29">
        <f t="shared" si="62"/>
        <v>5148</v>
      </c>
      <c r="FN12" s="30">
        <f t="shared" si="28"/>
        <v>0</v>
      </c>
      <c r="FO12" s="30">
        <f t="shared" si="63"/>
        <v>0</v>
      </c>
      <c r="FP12" s="30">
        <f t="shared" si="28"/>
        <v>0</v>
      </c>
      <c r="FQ12" s="30">
        <f t="shared" si="28"/>
        <v>0</v>
      </c>
      <c r="FR12" s="30">
        <f t="shared" si="28"/>
        <v>0</v>
      </c>
      <c r="FS12" s="30">
        <f t="shared" si="64"/>
        <v>0</v>
      </c>
      <c r="FT12" s="30">
        <f t="shared" si="28"/>
        <v>0</v>
      </c>
      <c r="FU12" s="30">
        <f t="shared" si="28"/>
        <v>0</v>
      </c>
      <c r="FV12" s="30">
        <f t="shared" si="65"/>
        <v>0</v>
      </c>
      <c r="FW12" s="30">
        <f t="shared" si="66"/>
        <v>0</v>
      </c>
      <c r="FX12" s="30">
        <f t="shared" si="67"/>
        <v>0</v>
      </c>
      <c r="FY12" s="30">
        <f t="shared" si="68"/>
        <v>0</v>
      </c>
      <c r="FZ12" s="30">
        <f t="shared" si="69"/>
        <v>214.5</v>
      </c>
      <c r="GA12" s="30">
        <f t="shared" si="28"/>
        <v>0</v>
      </c>
      <c r="GB12" s="30">
        <f t="shared" si="70"/>
        <v>0</v>
      </c>
      <c r="GC12" s="30">
        <f t="shared" si="71"/>
        <v>0</v>
      </c>
      <c r="GD12" s="30">
        <f t="shared" si="72"/>
        <v>0</v>
      </c>
      <c r="GE12" s="30">
        <f t="shared" si="73"/>
        <v>0</v>
      </c>
      <c r="GF12" s="30">
        <f t="shared" si="74"/>
        <v>5148</v>
      </c>
      <c r="GG12" s="30">
        <f t="shared" si="29"/>
        <v>0</v>
      </c>
      <c r="GH12" s="30">
        <f t="shared" si="29"/>
        <v>0</v>
      </c>
      <c r="GI12" s="30">
        <f t="shared" si="29"/>
        <v>0</v>
      </c>
      <c r="GJ12" s="30">
        <f t="shared" si="29"/>
        <v>0</v>
      </c>
      <c r="GK12" s="30">
        <f t="shared" si="29"/>
        <v>0</v>
      </c>
      <c r="GL12" s="30">
        <f t="shared" si="29"/>
        <v>0</v>
      </c>
      <c r="GM12" s="30">
        <f t="shared" si="29"/>
        <v>0</v>
      </c>
      <c r="GN12" s="30">
        <f t="shared" si="29"/>
        <v>0</v>
      </c>
      <c r="GO12" s="30">
        <f t="shared" si="29"/>
        <v>0</v>
      </c>
      <c r="GP12" s="30">
        <f t="shared" si="29"/>
        <v>0</v>
      </c>
      <c r="GQ12" s="30">
        <f t="shared" si="29"/>
        <v>0</v>
      </c>
      <c r="GR12" s="30">
        <f t="shared" si="29"/>
        <v>0</v>
      </c>
      <c r="GS12" s="30">
        <f t="shared" si="29"/>
        <v>0</v>
      </c>
      <c r="GT12" s="30">
        <f t="shared" si="75"/>
        <v>0</v>
      </c>
      <c r="GU12" s="31">
        <f t="shared" si="76"/>
        <v>5148</v>
      </c>
    </row>
    <row r="13" spans="1:204" ht="15.75" customHeight="1" thickBot="1" x14ac:dyDescent="0.3">
      <c r="A13" s="33">
        <f t="shared" si="30"/>
        <v>5</v>
      </c>
      <c r="B13" s="25" t="s">
        <v>152</v>
      </c>
      <c r="C13" s="37" t="s">
        <v>159</v>
      </c>
      <c r="D13" s="25"/>
      <c r="E13" s="37" t="s">
        <v>160</v>
      </c>
      <c r="F13" s="25"/>
      <c r="G13" s="25">
        <v>10296</v>
      </c>
      <c r="H13" s="22">
        <f t="shared" si="0"/>
        <v>5148</v>
      </c>
      <c r="I13" s="25"/>
      <c r="J13" s="22">
        <v>396</v>
      </c>
      <c r="K13" s="22">
        <f t="shared" si="31"/>
        <v>49.5</v>
      </c>
      <c r="L13" s="22">
        <f t="shared" si="32"/>
        <v>0.82499999999999996</v>
      </c>
      <c r="M13" s="22">
        <f>H13+(I13*J13)</f>
        <v>5148</v>
      </c>
      <c r="N13" s="25"/>
      <c r="O13" s="22">
        <f t="shared" si="1"/>
        <v>0</v>
      </c>
      <c r="P13" s="25"/>
      <c r="Q13" s="22">
        <f t="shared" si="2"/>
        <v>0</v>
      </c>
      <c r="R13" s="25"/>
      <c r="S13" s="22">
        <f t="shared" si="3"/>
        <v>0</v>
      </c>
      <c r="T13" s="22">
        <f t="shared" si="34"/>
        <v>0</v>
      </c>
      <c r="U13" s="22">
        <f t="shared" si="35"/>
        <v>0</v>
      </c>
      <c r="V13" s="25"/>
      <c r="W13" s="22">
        <f t="shared" si="4"/>
        <v>0</v>
      </c>
      <c r="X13" s="25"/>
      <c r="Y13" s="22">
        <f t="shared" si="5"/>
        <v>0</v>
      </c>
      <c r="Z13" s="25"/>
      <c r="AA13" s="22">
        <f t="shared" si="6"/>
        <v>0</v>
      </c>
      <c r="AB13" s="25"/>
      <c r="AC13" s="22">
        <f t="shared" si="7"/>
        <v>0</v>
      </c>
      <c r="AD13" s="25"/>
      <c r="AE13" s="22">
        <f t="shared" si="8"/>
        <v>0</v>
      </c>
      <c r="AF13" s="25"/>
      <c r="AG13" s="22">
        <f t="shared" si="9"/>
        <v>0</v>
      </c>
      <c r="AH13" s="25"/>
      <c r="AI13" s="22">
        <f t="shared" si="10"/>
        <v>0</v>
      </c>
      <c r="AJ13" s="25"/>
      <c r="AK13" s="22">
        <f t="shared" si="11"/>
        <v>0</v>
      </c>
      <c r="AL13" s="22">
        <f t="shared" si="36"/>
        <v>0</v>
      </c>
      <c r="AM13" s="22">
        <f t="shared" si="36"/>
        <v>0</v>
      </c>
      <c r="AN13" s="25"/>
      <c r="AO13" s="22">
        <f t="shared" si="12"/>
        <v>0</v>
      </c>
      <c r="AP13" s="25"/>
      <c r="AQ13" s="22">
        <f t="shared" si="13"/>
        <v>0</v>
      </c>
      <c r="AR13" s="25"/>
      <c r="AS13" s="22">
        <f t="shared" si="14"/>
        <v>0</v>
      </c>
      <c r="AT13" s="25"/>
      <c r="AU13" s="22">
        <f t="shared" si="15"/>
        <v>0</v>
      </c>
      <c r="AV13" s="25"/>
      <c r="AW13" s="22">
        <f t="shared" si="16"/>
        <v>0</v>
      </c>
      <c r="AX13" s="25"/>
      <c r="AY13" s="22">
        <f t="shared" si="17"/>
        <v>0</v>
      </c>
      <c r="AZ13" s="25"/>
      <c r="BA13" s="22">
        <f t="shared" si="18"/>
        <v>0</v>
      </c>
      <c r="BB13" s="25"/>
      <c r="BC13" s="22">
        <f t="shared" si="19"/>
        <v>0</v>
      </c>
      <c r="BD13" s="25"/>
      <c r="BE13" s="22">
        <f t="shared" si="20"/>
        <v>0</v>
      </c>
      <c r="BF13" s="22">
        <f t="shared" si="37"/>
        <v>0</v>
      </c>
      <c r="BG13" s="22">
        <f t="shared" si="37"/>
        <v>0</v>
      </c>
      <c r="BH13" s="25"/>
      <c r="BI13" s="21">
        <f>IFERROR(VLOOKUP(B13,'[1]Mar1 Payroll'!$B$9:$FJ$68,66,FALSE),)</f>
        <v>0</v>
      </c>
      <c r="BJ13" s="21">
        <f>IFERROR(VLOOKUP(B13,'[1]Mar1 Payroll'!$B$9:$FJ$68,67,FALSE),)</f>
        <v>0</v>
      </c>
      <c r="BK13" s="25"/>
      <c r="BL13" s="25"/>
      <c r="BM13" s="25"/>
      <c r="BN13" s="25"/>
      <c r="BO13" s="21">
        <f t="shared" si="38"/>
        <v>0</v>
      </c>
      <c r="BP13" s="21">
        <f t="shared" si="38"/>
        <v>0</v>
      </c>
      <c r="BQ13" s="21">
        <f t="shared" si="39"/>
        <v>0</v>
      </c>
      <c r="BR13" s="21">
        <f t="shared" si="40"/>
        <v>0</v>
      </c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2">
        <f t="shared" si="41"/>
        <v>5148</v>
      </c>
      <c r="CD13" s="25"/>
      <c r="CE13" s="22">
        <f t="shared" si="21"/>
        <v>0</v>
      </c>
      <c r="CF13" s="34"/>
      <c r="CG13" s="21">
        <f t="shared" si="42"/>
        <v>0</v>
      </c>
      <c r="CH13" s="25"/>
      <c r="CI13" s="22">
        <f t="shared" si="22"/>
        <v>0</v>
      </c>
      <c r="CJ13" s="22">
        <f t="shared" si="43"/>
        <v>0</v>
      </c>
      <c r="CK13" s="35" t="str">
        <f>_xlfn.IFNA(VLOOKUP(B13,'[1]201'!$E$7:$H$66,2,FALSE),"")</f>
        <v/>
      </c>
      <c r="CL13" s="35" t="str">
        <f>_xlfn.IFNA(VLOOKUP(B13,'[1]201'!$E$7:$H$66,3,FALSE),"")</f>
        <v/>
      </c>
      <c r="CM13" s="35" t="str">
        <f>_xlfn.IFNA(VLOOKUP(B13,'[1]201'!$E$7:$H$66,4,FALSE),"")</f>
        <v/>
      </c>
      <c r="CN13" s="22">
        <f>_xlfn.IFNA(IF(CK13=0,0,IF($CN$8=1,-VLOOKUP(G13,[1]!SSSW[#Data],7,TRUE),0)),0)</f>
        <v>0</v>
      </c>
      <c r="CO13" s="22">
        <f>_xlfn.IFNA(IF(CK13=0,0,IF($CO$8=1,-VLOOKUP(M13,[1]!SSSW[#Data],7,TRUE),0)),0)</f>
        <v>0</v>
      </c>
      <c r="CP13" s="22">
        <f>_xlfn.IFNA(IF(CK13=0,0,IF($CP$8=1,-VLOOKUP(CC13+IFERROR(VLOOKUP(B13,'[1]Mar1 Payroll'!$B$9:$FJ$68,80,FALSE),),[1]!SSSW[#Data],7,TRUE),0)),0)</f>
        <v>0</v>
      </c>
      <c r="CQ13" s="22">
        <f>_xlfn.IFNA(IF(CK13=0,0,IF($CQ$8=1,-VLOOKUP(CC13,[1]!SSSW[#Data],7,TRUE),0)),0)</f>
        <v>0</v>
      </c>
      <c r="CR13" s="22">
        <f>IFERROR(IF(CQ13&lt;0,-VLOOKUP(CC13+IFERROR(VLOOKUP(B13,'[1]Mar1 Payroll'!$B$9:$FJ$68,80,FALSE),),[1]!SSSW[#Data],13,TRUE),IF(CP13&lt;0,-VLOOKUP(CC13+IFERROR(VLOOKUP(B13,'[1]Mar1 Payroll'!$B$9:$FJ$68,80,FALSE),),[1]!SSSW[#Data],13,TRUE),IF(CO13&lt;0,-VLOOKUP(G13,[1]!SSSW[#Data],13,TRUE),IF(CN13&lt;0,-VLOOKUP(G13,[1]!SSSW[#Data],13,TRUE),)))),)</f>
        <v>0</v>
      </c>
      <c r="CS13" s="22">
        <f t="shared" si="44"/>
        <v>0</v>
      </c>
      <c r="CT13" s="22">
        <f>IFERROR(IF(CN13&lt;0,-VLOOKUP(G13,[1]!SSSW[#Data],15,TRUE),IF(CQ13&lt;0,(-VLOOKUP(CC13,[1]!SSSW[#Data],15,TRUE)),IF(CP13&lt;0,-VLOOKUP(CC13+IFERROR(VLOOKUP(B13,'[1]Mar1 Payroll'!$B$9:$FJ$68,80,FALSE),),[1]!SSSW[#Data],15,TRUE),IF(CO13&lt;0,(-VLOOKUP(M13,[1]!SSSW[#Data],15,TRUE)),)))),)</f>
        <v>0</v>
      </c>
      <c r="CU13" s="22">
        <f t="shared" si="45"/>
        <v>0</v>
      </c>
      <c r="CV13" s="22">
        <f t="shared" si="46"/>
        <v>0</v>
      </c>
      <c r="CW13" s="22">
        <f t="shared" si="23"/>
        <v>0</v>
      </c>
      <c r="CX13" s="22">
        <f t="shared" si="24"/>
        <v>0</v>
      </c>
      <c r="CY13" s="22">
        <f t="shared" si="47"/>
        <v>0</v>
      </c>
      <c r="CZ13" s="25"/>
      <c r="DA13" s="25"/>
      <c r="DB13" s="25"/>
      <c r="DC13" s="22">
        <f t="shared" si="48"/>
        <v>0</v>
      </c>
      <c r="DD13" s="25"/>
      <c r="DE13" s="25"/>
      <c r="DF13" s="25"/>
      <c r="DG13" s="25"/>
      <c r="DH13" s="22">
        <f t="shared" si="49"/>
        <v>0</v>
      </c>
      <c r="DI13" s="34"/>
      <c r="DJ13" s="34"/>
      <c r="DK13" s="34"/>
      <c r="DL13" s="34"/>
      <c r="DM13" s="34"/>
      <c r="DN13" s="34"/>
      <c r="DO13" s="21">
        <f t="shared" si="50"/>
        <v>0</v>
      </c>
      <c r="DP13" s="34"/>
      <c r="DQ13" s="34"/>
      <c r="DR13" s="25"/>
      <c r="DS13" s="22">
        <f t="shared" si="51"/>
        <v>0</v>
      </c>
      <c r="DT13" s="22">
        <f t="shared" si="25"/>
        <v>5148</v>
      </c>
      <c r="DU13" s="22">
        <f t="shared" si="52"/>
        <v>5148</v>
      </c>
      <c r="DV13" s="25">
        <f t="shared" si="26"/>
        <v>0</v>
      </c>
      <c r="DW13" s="22">
        <f t="shared" si="53"/>
        <v>0</v>
      </c>
      <c r="DX13" s="25">
        <f t="shared" si="54"/>
        <v>0</v>
      </c>
      <c r="DY13" s="22">
        <f t="shared" si="55"/>
        <v>5148</v>
      </c>
      <c r="DZ13" s="26">
        <f t="shared" si="27"/>
        <v>214.5</v>
      </c>
      <c r="EB13" s="27">
        <f>IFERROR(M13+IFERROR(VLOOKUP(B13,'[1]Mar1 Payroll'!$B$9:$FJ$68,131,FALSE),),0)</f>
        <v>5148</v>
      </c>
      <c r="EC13" s="27">
        <f>IFERROR(O13+U13+AM13+BG13+BH13+IFERROR(VLOOKUP(B13,'[1]Mar1 Payroll'!$B$9:$FJ$68,132,FALSE),),)</f>
        <v>0</v>
      </c>
      <c r="ED13" s="27">
        <f t="array" ref="ED13">IFERROR(IF(BT13+BX13+BZ13+CA13+CB13+DZ13+IFERROR(SUM(VLOOKUP(B13,'[1]Mar1 Payroll'!$B$9:$FJ$68,{133,137,140,141,144,146,147,148},FALSE)),)&gt;90000,DZ13+IFERROR(SUM(VLOOKUP(B13,'[1]Mar1 Payroll'!$B$9:$FJ$68,{133,144},FALSE)),),IF(BT13+BX13+BZ13+CA13+CB13+DZ13+IFERROR(SUM(VLOOKUP(B13,'[1]Mar1 Payroll'!$B$9:$EK$68,{133,137,140,141,144,146,147,148},FALSE)),)&lt;90000,0,0)),0)</f>
        <v>0</v>
      </c>
      <c r="EE13" s="27">
        <f>IFERROR(BS13+IFERROR(VLOOKUP(B13,'[1]Mar1 Payroll'!$B$9:$FJ$68,134,FALSE),),0)</f>
        <v>0</v>
      </c>
      <c r="EF13" s="27">
        <f>IFERROR(BQ13+IFERROR(VLOOKUP(B13,'[1]Mar1 Payroll'!$B$9:$FJ$68,135,FALSE),),0)</f>
        <v>0</v>
      </c>
      <c r="EG13" s="27">
        <f>IFERROR(BR13+IFERROR(VLOOKUP(B13,'[1]Mar1 Payroll'!$B$9:$FJ$68,136,FALSE),),0)</f>
        <v>0</v>
      </c>
      <c r="EH13" s="27">
        <f t="array" ref="EH13">IFERROR(IF(BT13+BX13+BZ13+CA13+CB13+DZ13+IFERROR(SUM(VLOOKUP(B13,'[1]Mar1 Payroll'!$B$9:$FJ$68,{133,137,140,141,144,146,147,148},FALSE)),)&gt;90000,BT13+IFERROR(SUM(VLOOKUP(B13,'[1]Mar1 Payroll'!$B$9:$FJ$68,{137,147},FALSE)),),IF(BT13+BX13+BZ13+CA13+CB13+DZ13+IFERROR(SUM(VLOOKUP(B13,'[1]Mar1 Payroll'!$B$9:$EK$68,{133,137,140,141,144,146,147,148},FALSE)),)&lt;90000,0,0)),0)</f>
        <v>0</v>
      </c>
      <c r="EI13" s="27">
        <f>IFERROR(BU13+IFERROR(VLOOKUP(B13,'[1]Mar1 Payroll'!$B$9:$FJ$68,138,FALSE),),0)</f>
        <v>0</v>
      </c>
      <c r="EJ13" s="27">
        <f>IFERROR(BV13+IFERROR(VLOOKUP(B13,'[1]Mar1 Payroll'!$B$9:$FJ$68,139,FALSE),),0)</f>
        <v>0</v>
      </c>
      <c r="EK13" s="27">
        <f t="array" ref="EK13">IFERROR(IF(BT13+BX13+BZ13+CA13+CB13+DZ13+IFERROR(SUM(VLOOKUP(B13,'[1]Mar1 Payroll'!$B$9:$FJ$68,{133,137,140,141,144,146,147,148},FALSE)),)&gt;90000,BX13+IFERROR(SUM(VLOOKUP(B13,'[1]Mar1 Payroll'!$B$9:$FJ$68,{140,146},FALSE)),),IF(BT13+BX13+BZ13+CA13+CB13+DZ13+IFERROR(SUM(VLOOKUP(B13,'[1]Mar1 Payroll'!$B$9:$EK$68,{133,137,140,141,144,146,147,148},FALSE)),)&lt;90000,0,0)),0)</f>
        <v>0</v>
      </c>
      <c r="EL13" s="27">
        <f t="array" ref="EL13">IFERROR(IF(BT13+BX13+BZ13+CA13+CB13+DZ13+IFERROR(SUM(VLOOKUP(B13,'[1]Mar1 Payroll'!$B$9:$FJ$68,{133,137,140,141,144,146,147,148},FALSE)),)&gt;90000,BZ13+CA13+CB13+IFERROR(SUM(VLOOKUP(B13,'[1]Mar1 Payroll'!$B$9:$FJ$68,{141,148},FALSE)),),IF(BT13+BX13+BZ13+CA13+CB13+DZ13+IFERROR(SUM(VLOOKUP(B13,'[1]Mar1 Payroll'!$B$9:$EK$68,{133,137,140,141,144,146,147,148},FALSE)),)&lt;90000,0,0)),0)</f>
        <v>0</v>
      </c>
      <c r="EM13" s="27">
        <f t="shared" si="56"/>
        <v>0</v>
      </c>
      <c r="EN13" s="27">
        <f t="shared" si="57"/>
        <v>0</v>
      </c>
      <c r="EO13" s="27">
        <f t="array" ref="EO13">IFERROR(IF(BT13+BX13+BZ13+CA13+CB13+DZ13+IFERROR(SUM(VLOOKUP(B13,'[1]Mar1 Payroll'!$B$9:$FJ$68,{133,137,140,141,144,146,147,148},FALSE)),)&gt;90000,0,IF(BT13+BX13+BZ13+CA13+CB13+DZ13+IFERROR(SUM(VLOOKUP(B13,'[1]Mar1 Payroll'!$B$9:$EK$68,{133,137,140,141,144,146,147,148},FALSE)),)&lt;90000,DZ13+IFERROR(SUM(VLOOKUP(B13,'[1]Mar1 Payroll'!$B$9:$FJ$68,{133,144},FALSE)),),)),)</f>
        <v>214.5</v>
      </c>
      <c r="EP13" s="27">
        <f>IFERROR(BY13+IFERROR(VLOOKUP(B13,'[1]Mar1 Payroll'!$B$9:$FJ$68,145,FALSE),),0)</f>
        <v>0</v>
      </c>
      <c r="EQ13" s="27">
        <f t="array" ref="EQ13">IFERROR(IF(BT13+BX13+BZ13+CA13+CB13+DZ13+IFERROR(SUM(VLOOKUP(B13,'[1]Mar1 Payroll'!$B$9:$FJ$68,{133,137,140,141,144,146,147,148},FALSE)),)&gt;90000,0,IF(BT13+BX13+BZ13+CA13+CB13+DZ13+IFERROR(SUM(VLOOKUP(B13,'[1]Mar1 Payroll'!$B$9:$EK$68,{133,137,140,141,144,146,147,148},FALSE)),)&lt;90000,BX13+IFERROR(SUM(VLOOKUP(B13,'[1]Mar1 Payroll'!$B$9:$FJ$68,{140,146},FALSE)),))),0)</f>
        <v>0</v>
      </c>
      <c r="ER13" s="27">
        <f t="array" ref="ER13">IFERROR(IF(BT13+BX13+BZ13+CA13+CB13+DZ13+IFERROR(SUM(VLOOKUP(B13,'[1]Mar1 Payroll'!$B$9:$FJ$68,{133,137,140,141,144,146,147,148},FALSE)),)&gt;90000,0,IF(BT13+BX13+BZ13+CA13+CB13+DZ13+IFERROR(SUM(VLOOKUP(B13,'[1]Mar1 Payroll'!$B$9:$EK$68,{133,137,140,141,144,146,147,148},FALSE)),)&lt;90000,BT13+IFERROR(SUM(VLOOKUP(B13,'[1]Mar1 Payroll'!$B$9:$FJ$68,{137,147},FALSE)),))),0)</f>
        <v>0</v>
      </c>
      <c r="ES13" s="27">
        <f t="array" ref="ES13">IFERROR(IF(BT13+BX13+BZ13+CA13+CB13+DZ13+IFERROR(SUM(VLOOKUP(B13,'[1]Mar1 Payroll'!$B$9:$FJ$68,{133,137,140,141,144,146,147,148},FALSE)),)&gt;90000,0,IF(BT13+BX13+BZ13+CA13+CB13+DZ13+IFERROR(SUM(VLOOKUP(B13,'[1]Mar1 Payroll'!$B$9:$EK$68,{133,137,140,141,144,146,147,148},FALSE)),)&lt;90000,BZ13+CA13+CB13+IFERROR(SUM(VLOOKUP(B13,'[1]Mar1 Payroll'!$B$9:$FJ$68,{141,148},FALSE)),))),0)</f>
        <v>0</v>
      </c>
      <c r="ET13" s="27">
        <f t="shared" si="58"/>
        <v>0</v>
      </c>
      <c r="EU13" s="27">
        <f t="shared" si="59"/>
        <v>5148</v>
      </c>
      <c r="EV13" s="27">
        <f>IFERROR(DV13+DW13+DX13+IFERROR(VLOOKUP(B13,'[1]Mar1 Payroll'!$B$9:$FJ$68,151,FALSE),),0)</f>
        <v>0</v>
      </c>
      <c r="EW13" s="27">
        <f>IFERROR(CS13+IFERROR(VLOOKUP(B13,'[1]Mar1 Payroll'!$B$9:$FJ$68,152,FALSE),),0)</f>
        <v>0</v>
      </c>
      <c r="EX13" s="27">
        <f>IFERROR(CU13+CV13+IFERROR(VLOOKUP(B13,'[1]Mar1 Payroll'!$B$9:$FJ$68,153,FALSE),),0)</f>
        <v>0</v>
      </c>
      <c r="EY13" s="27">
        <f>IFERROR(CW13+CX13+IFERROR(VLOOKUP(B13,'[1]Mar1 Payroll'!$B$9:$FJ$68,154,FALSE),),0)</f>
        <v>0</v>
      </c>
      <c r="EZ13" s="27">
        <f>IFERROR(CJ13+IFERROR(VLOOKUP(B13,'[1]Mar1 Payroll'!$B$9:$FJ$68,155,FALSE),),0)</f>
        <v>0</v>
      </c>
      <c r="FA13" s="27">
        <f>IFERROR(DP13+DQ13+DR13+IFERROR(VLOOKUP(B13,'[1]Mar1 Payroll'!$B$9:$FJ$68,156,FALSE),),0)</f>
        <v>0</v>
      </c>
      <c r="FB13" s="27">
        <f>IFERROR(CZ13+IFERROR(VLOOKUP(B13,'[1]Mar1 Payroll'!$B$9:$FJ$68,157,FALSE),),0)</f>
        <v>0</v>
      </c>
      <c r="FC13" s="27">
        <f>IFERROR(DA13+IFERROR(VLOOKUP(B13,'[1]Mar1 Payroll'!$B$9:$FJ$68,158,FALSE),),0)</f>
        <v>0</v>
      </c>
      <c r="FD13" s="27">
        <f>IFERROR(DB13+IFERROR(VLOOKUP(B13,'[1]Mar1 Payroll'!$B$9:$FJ$68,159,FALSE),),0)</f>
        <v>0</v>
      </c>
      <c r="FE13" s="27">
        <f>IFERROR(DD13+IFERROR(VLOOKUP(B13,'[1]Mar1 Payroll'!$B$9:$FJ$68,160,FALSE),),0)</f>
        <v>0</v>
      </c>
      <c r="FF13" s="27">
        <f>IFERROR(DE13+IFERROR(VLOOKUP(B13,'[1]Mar1 Payroll'!$B$9:$FJ$68,161,FALSE),),0)</f>
        <v>0</v>
      </c>
      <c r="FG13" s="27">
        <f>IFERROR(DF13+IFERROR(VLOOKUP(B13,'[1]Mar1 Payroll'!$B$9:$FJ$68,162,FALSE),),0)</f>
        <v>0</v>
      </c>
      <c r="FH13" s="27">
        <f>IFERROR(DG13+IFERROR(VLOOKUP(B13,'[1]Mar1 Payroll'!$B$9:$FJ$68,163,FALSE),),0)</f>
        <v>0</v>
      </c>
      <c r="FI13" s="27">
        <f t="shared" si="60"/>
        <v>0</v>
      </c>
      <c r="FJ13" s="28">
        <f t="shared" si="61"/>
        <v>5148</v>
      </c>
      <c r="FM13" s="29">
        <f t="shared" si="62"/>
        <v>5148</v>
      </c>
      <c r="FN13" s="30">
        <f t="shared" si="28"/>
        <v>0</v>
      </c>
      <c r="FO13" s="30">
        <f t="shared" si="63"/>
        <v>0</v>
      </c>
      <c r="FP13" s="30">
        <f t="shared" si="28"/>
        <v>0</v>
      </c>
      <c r="FQ13" s="30">
        <f t="shared" si="28"/>
        <v>0</v>
      </c>
      <c r="FR13" s="30">
        <f t="shared" si="28"/>
        <v>0</v>
      </c>
      <c r="FS13" s="30">
        <f t="shared" si="64"/>
        <v>0</v>
      </c>
      <c r="FT13" s="30">
        <f t="shared" si="28"/>
        <v>0</v>
      </c>
      <c r="FU13" s="30">
        <f t="shared" si="28"/>
        <v>0</v>
      </c>
      <c r="FV13" s="30">
        <f t="shared" si="65"/>
        <v>0</v>
      </c>
      <c r="FW13" s="30">
        <f t="shared" si="66"/>
        <v>0</v>
      </c>
      <c r="FX13" s="30">
        <f t="shared" si="67"/>
        <v>0</v>
      </c>
      <c r="FY13" s="30">
        <f t="shared" si="68"/>
        <v>0</v>
      </c>
      <c r="FZ13" s="30">
        <f t="shared" si="69"/>
        <v>214.5</v>
      </c>
      <c r="GA13" s="30">
        <f t="shared" si="28"/>
        <v>0</v>
      </c>
      <c r="GB13" s="30">
        <f t="shared" si="70"/>
        <v>0</v>
      </c>
      <c r="GC13" s="30">
        <f t="shared" si="71"/>
        <v>0</v>
      </c>
      <c r="GD13" s="30">
        <f t="shared" si="72"/>
        <v>0</v>
      </c>
      <c r="GE13" s="30">
        <f t="shared" si="73"/>
        <v>0</v>
      </c>
      <c r="GF13" s="30">
        <f t="shared" si="74"/>
        <v>5148</v>
      </c>
      <c r="GG13" s="30">
        <f t="shared" si="29"/>
        <v>0</v>
      </c>
      <c r="GH13" s="30">
        <f t="shared" si="29"/>
        <v>0</v>
      </c>
      <c r="GI13" s="30">
        <f t="shared" si="29"/>
        <v>0</v>
      </c>
      <c r="GJ13" s="30">
        <f t="shared" si="29"/>
        <v>0</v>
      </c>
      <c r="GK13" s="30">
        <f t="shared" si="29"/>
        <v>0</v>
      </c>
      <c r="GL13" s="30">
        <f t="shared" si="29"/>
        <v>0</v>
      </c>
      <c r="GM13" s="30">
        <f t="shared" si="29"/>
        <v>0</v>
      </c>
      <c r="GN13" s="30">
        <f t="shared" si="29"/>
        <v>0</v>
      </c>
      <c r="GO13" s="30">
        <f t="shared" si="29"/>
        <v>0</v>
      </c>
      <c r="GP13" s="30">
        <f t="shared" si="29"/>
        <v>0</v>
      </c>
      <c r="GQ13" s="30">
        <f t="shared" si="29"/>
        <v>0</v>
      </c>
      <c r="GR13" s="30">
        <f t="shared" si="29"/>
        <v>0</v>
      </c>
      <c r="GS13" s="30">
        <f t="shared" si="29"/>
        <v>0</v>
      </c>
      <c r="GT13" s="30">
        <f t="shared" si="75"/>
        <v>0</v>
      </c>
      <c r="GU13" s="31">
        <f t="shared" si="76"/>
        <v>5148</v>
      </c>
    </row>
    <row r="14" spans="1:204" ht="15.75" customHeight="1" thickBot="1" x14ac:dyDescent="0.3">
      <c r="A14" s="33">
        <f t="shared" si="30"/>
        <v>6</v>
      </c>
      <c r="B14" s="25" t="s">
        <v>153</v>
      </c>
      <c r="C14" s="37" t="s">
        <v>159</v>
      </c>
      <c r="D14" s="25"/>
      <c r="E14" s="37" t="s">
        <v>160</v>
      </c>
      <c r="F14" s="25"/>
      <c r="G14" s="25">
        <v>10296</v>
      </c>
      <c r="H14" s="22">
        <f t="shared" si="0"/>
        <v>5148</v>
      </c>
      <c r="I14" s="25"/>
      <c r="J14" s="22">
        <v>396</v>
      </c>
      <c r="K14" s="22">
        <f t="shared" si="31"/>
        <v>49.5</v>
      </c>
      <c r="L14" s="22">
        <f t="shared" si="32"/>
        <v>0.82499999999999996</v>
      </c>
      <c r="M14" s="22">
        <f t="shared" ref="M14:M18" si="77">H14+(I14*J14)</f>
        <v>5148</v>
      </c>
      <c r="N14" s="25"/>
      <c r="O14" s="22">
        <f t="shared" si="1"/>
        <v>0</v>
      </c>
      <c r="P14" s="25"/>
      <c r="Q14" s="22">
        <f t="shared" si="2"/>
        <v>0</v>
      </c>
      <c r="R14" s="25"/>
      <c r="S14" s="22">
        <f t="shared" si="3"/>
        <v>0</v>
      </c>
      <c r="T14" s="22">
        <f t="shared" si="34"/>
        <v>0</v>
      </c>
      <c r="U14" s="22">
        <f t="shared" si="35"/>
        <v>0</v>
      </c>
      <c r="V14" s="25"/>
      <c r="W14" s="22">
        <f t="shared" si="4"/>
        <v>0</v>
      </c>
      <c r="X14" s="25"/>
      <c r="Y14" s="22">
        <f t="shared" si="5"/>
        <v>0</v>
      </c>
      <c r="Z14" s="25"/>
      <c r="AA14" s="22">
        <f t="shared" si="6"/>
        <v>0</v>
      </c>
      <c r="AB14" s="25"/>
      <c r="AC14" s="22">
        <f t="shared" si="7"/>
        <v>0</v>
      </c>
      <c r="AD14" s="25"/>
      <c r="AE14" s="22">
        <f t="shared" si="8"/>
        <v>0</v>
      </c>
      <c r="AF14" s="25"/>
      <c r="AG14" s="22">
        <f t="shared" si="9"/>
        <v>0</v>
      </c>
      <c r="AH14" s="25"/>
      <c r="AI14" s="22">
        <f t="shared" si="10"/>
        <v>0</v>
      </c>
      <c r="AJ14" s="25"/>
      <c r="AK14" s="22">
        <f t="shared" si="11"/>
        <v>0</v>
      </c>
      <c r="AL14" s="22">
        <f t="shared" si="36"/>
        <v>0</v>
      </c>
      <c r="AM14" s="22">
        <f t="shared" si="36"/>
        <v>0</v>
      </c>
      <c r="AN14" s="25"/>
      <c r="AO14" s="22">
        <f t="shared" si="12"/>
        <v>0</v>
      </c>
      <c r="AP14" s="25"/>
      <c r="AQ14" s="22">
        <f t="shared" si="13"/>
        <v>0</v>
      </c>
      <c r="AR14" s="25"/>
      <c r="AS14" s="22">
        <f t="shared" si="14"/>
        <v>0</v>
      </c>
      <c r="AT14" s="25"/>
      <c r="AU14" s="22">
        <f t="shared" si="15"/>
        <v>0</v>
      </c>
      <c r="AV14" s="25"/>
      <c r="AW14" s="22">
        <f t="shared" si="16"/>
        <v>0</v>
      </c>
      <c r="AX14" s="25"/>
      <c r="AY14" s="22">
        <f t="shared" si="17"/>
        <v>0</v>
      </c>
      <c r="AZ14" s="25"/>
      <c r="BA14" s="22">
        <f t="shared" si="18"/>
        <v>0</v>
      </c>
      <c r="BB14" s="25"/>
      <c r="BC14" s="22">
        <f t="shared" si="19"/>
        <v>0</v>
      </c>
      <c r="BD14" s="25"/>
      <c r="BE14" s="22">
        <f t="shared" si="20"/>
        <v>0</v>
      </c>
      <c r="BF14" s="22">
        <f t="shared" si="37"/>
        <v>0</v>
      </c>
      <c r="BG14" s="22">
        <f t="shared" si="37"/>
        <v>0</v>
      </c>
      <c r="BH14" s="25"/>
      <c r="BI14" s="21">
        <f>IFERROR(VLOOKUP(B14,'[1]Mar1 Payroll'!$B$9:$FJ$68,66,FALSE),)</f>
        <v>0</v>
      </c>
      <c r="BJ14" s="21">
        <f>IFERROR(VLOOKUP(B14,'[1]Mar1 Payroll'!$B$9:$FJ$68,67,FALSE),)</f>
        <v>0</v>
      </c>
      <c r="BK14" s="25"/>
      <c r="BL14" s="25"/>
      <c r="BM14" s="25"/>
      <c r="BN14" s="25"/>
      <c r="BO14" s="21">
        <f t="shared" si="38"/>
        <v>0</v>
      </c>
      <c r="BP14" s="21">
        <f t="shared" si="38"/>
        <v>0</v>
      </c>
      <c r="BQ14" s="21">
        <f t="shared" si="39"/>
        <v>0</v>
      </c>
      <c r="BR14" s="21">
        <f t="shared" si="40"/>
        <v>0</v>
      </c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2">
        <f t="shared" si="41"/>
        <v>5148</v>
      </c>
      <c r="CD14" s="25"/>
      <c r="CE14" s="22">
        <f t="shared" si="21"/>
        <v>0</v>
      </c>
      <c r="CF14" s="34"/>
      <c r="CG14" s="21">
        <f t="shared" si="42"/>
        <v>0</v>
      </c>
      <c r="CH14" s="25"/>
      <c r="CI14" s="22">
        <f t="shared" si="22"/>
        <v>0</v>
      </c>
      <c r="CJ14" s="22">
        <f t="shared" si="43"/>
        <v>0</v>
      </c>
      <c r="CK14" s="35" t="str">
        <f>_xlfn.IFNA(VLOOKUP(B14,'[1]201'!$E$7:$H$66,2,FALSE),"")</f>
        <v/>
      </c>
      <c r="CL14" s="35" t="str">
        <f>_xlfn.IFNA(VLOOKUP(B14,'[1]201'!$E$7:$H$66,3,FALSE),"")</f>
        <v/>
      </c>
      <c r="CM14" s="35" t="str">
        <f>_xlfn.IFNA(VLOOKUP(B14,'[1]201'!$E$7:$H$66,4,FALSE),"")</f>
        <v/>
      </c>
      <c r="CN14" s="22">
        <f>_xlfn.IFNA(IF(CK14=0,0,IF($CN$8=1,-VLOOKUP(G14,[1]!SSSW[#Data],7,TRUE),0)),0)</f>
        <v>0</v>
      </c>
      <c r="CO14" s="22">
        <f>_xlfn.IFNA(IF(CK14=0,0,IF($CO$8=1,-VLOOKUP(M14,[1]!SSSW[#Data],7,TRUE),0)),0)</f>
        <v>0</v>
      </c>
      <c r="CP14" s="22">
        <f>_xlfn.IFNA(IF(CK14=0,0,IF($CP$8=1,-VLOOKUP(CC14+IFERROR(VLOOKUP(B14,'[1]Mar1 Payroll'!$B$9:$FJ$68,80,FALSE),),[1]!SSSW[#Data],7,TRUE),0)),0)</f>
        <v>0</v>
      </c>
      <c r="CQ14" s="22">
        <f>_xlfn.IFNA(IF(CK14=0,0,IF($CQ$8=1,-VLOOKUP(CC14,[1]!SSSW[#Data],7,TRUE),0)),0)</f>
        <v>0</v>
      </c>
      <c r="CR14" s="22">
        <f>IFERROR(IF(CQ14&lt;0,-VLOOKUP(CC14+IFERROR(VLOOKUP(B14,'[1]Mar1 Payroll'!$B$9:$FJ$68,80,FALSE),),[1]!SSSW[#Data],13,TRUE),IF(CP14&lt;0,-VLOOKUP(CC14+IFERROR(VLOOKUP(B14,'[1]Mar1 Payroll'!$B$9:$FJ$68,80,FALSE),),[1]!SSSW[#Data],13,TRUE),IF(CO14&lt;0,-VLOOKUP(G14,[1]!SSSW[#Data],13,TRUE),IF(CN14&lt;0,-VLOOKUP(G14,[1]!SSSW[#Data],13,TRUE),)))),)</f>
        <v>0</v>
      </c>
      <c r="CS14" s="22">
        <f t="shared" si="44"/>
        <v>0</v>
      </c>
      <c r="CT14" s="22">
        <f>IFERROR(IF(CN14&lt;0,-VLOOKUP(G14,[1]!SSSW[#Data],15,TRUE),IF(CQ14&lt;0,(-VLOOKUP(CC14,[1]!SSSW[#Data],15,TRUE)),IF(CP14&lt;0,-VLOOKUP(CC14+IFERROR(VLOOKUP(B14,'[1]Mar1 Payroll'!$B$9:$FJ$68,80,FALSE),),[1]!SSSW[#Data],15,TRUE),IF(CO14&lt;0,(-VLOOKUP(M14,[1]!SSSW[#Data],15,TRUE)),)))),)</f>
        <v>0</v>
      </c>
      <c r="CU14" s="22">
        <f t="shared" si="45"/>
        <v>0</v>
      </c>
      <c r="CV14" s="22">
        <f t="shared" si="46"/>
        <v>0</v>
      </c>
      <c r="CW14" s="22">
        <f t="shared" si="23"/>
        <v>0</v>
      </c>
      <c r="CX14" s="22">
        <f t="shared" si="24"/>
        <v>0</v>
      </c>
      <c r="CY14" s="22">
        <f t="shared" si="47"/>
        <v>0</v>
      </c>
      <c r="CZ14" s="25"/>
      <c r="DA14" s="25"/>
      <c r="DB14" s="25"/>
      <c r="DC14" s="22">
        <f t="shared" si="48"/>
        <v>0</v>
      </c>
      <c r="DD14" s="25"/>
      <c r="DE14" s="25"/>
      <c r="DF14" s="25"/>
      <c r="DG14" s="25"/>
      <c r="DH14" s="22">
        <f t="shared" si="49"/>
        <v>0</v>
      </c>
      <c r="DI14" s="34"/>
      <c r="DJ14" s="34"/>
      <c r="DK14" s="34"/>
      <c r="DL14" s="34"/>
      <c r="DM14" s="34"/>
      <c r="DN14" s="34"/>
      <c r="DO14" s="21">
        <f t="shared" si="50"/>
        <v>0</v>
      </c>
      <c r="DP14" s="34"/>
      <c r="DQ14" s="34"/>
      <c r="DR14" s="25"/>
      <c r="DS14" s="22">
        <f t="shared" si="51"/>
        <v>0</v>
      </c>
      <c r="DT14" s="22">
        <f t="shared" si="25"/>
        <v>5148</v>
      </c>
      <c r="DU14" s="22">
        <f t="shared" si="52"/>
        <v>5148</v>
      </c>
      <c r="DV14" s="25">
        <f t="shared" si="26"/>
        <v>0</v>
      </c>
      <c r="DW14" s="22">
        <f t="shared" si="53"/>
        <v>0</v>
      </c>
      <c r="DX14" s="25">
        <f t="shared" si="54"/>
        <v>0</v>
      </c>
      <c r="DY14" s="22">
        <f t="shared" si="55"/>
        <v>5148</v>
      </c>
      <c r="DZ14" s="26">
        <f t="shared" si="27"/>
        <v>214.5</v>
      </c>
      <c r="EB14" s="27">
        <f>IFERROR(M14+IFERROR(VLOOKUP(B14,'[1]Mar1 Payroll'!$B$9:$FJ$68,131,FALSE),),0)</f>
        <v>5148</v>
      </c>
      <c r="EC14" s="27">
        <f>IFERROR(O14+U14+AM14+BG14+BH14+IFERROR(VLOOKUP(B14,'[1]Mar1 Payroll'!$B$9:$FJ$68,132,FALSE),),)</f>
        <v>0</v>
      </c>
      <c r="ED14" s="27">
        <f t="array" ref="ED14">IFERROR(IF(BT14+BX14+BZ14+CA14+CB14+DZ14+IFERROR(SUM(VLOOKUP(B14,'[1]Mar1 Payroll'!$B$9:$FJ$68,{133,137,140,141,144,146,147,148},FALSE)),)&gt;90000,DZ14+IFERROR(SUM(VLOOKUP(B14,'[1]Mar1 Payroll'!$B$9:$FJ$68,{133,144},FALSE)),),IF(BT14+BX14+BZ14+CA14+CB14+DZ14+IFERROR(SUM(VLOOKUP(B14,'[1]Mar1 Payroll'!$B$9:$EK$68,{133,137,140,141,144,146,147,148},FALSE)),)&lt;90000,0,0)),0)</f>
        <v>0</v>
      </c>
      <c r="EE14" s="27">
        <f>IFERROR(BS14+IFERROR(VLOOKUP(B14,'[1]Mar1 Payroll'!$B$9:$FJ$68,134,FALSE),),0)</f>
        <v>0</v>
      </c>
      <c r="EF14" s="27">
        <f>IFERROR(BQ14+IFERROR(VLOOKUP(B14,'[1]Mar1 Payroll'!$B$9:$FJ$68,135,FALSE),),0)</f>
        <v>0</v>
      </c>
      <c r="EG14" s="27">
        <f>IFERROR(BR14+IFERROR(VLOOKUP(B14,'[1]Mar1 Payroll'!$B$9:$FJ$68,136,FALSE),),0)</f>
        <v>0</v>
      </c>
      <c r="EH14" s="27">
        <f t="array" ref="EH14">IFERROR(IF(BT14+BX14+BZ14+CA14+CB14+DZ14+IFERROR(SUM(VLOOKUP(B14,'[1]Mar1 Payroll'!$B$9:$FJ$68,{133,137,140,141,144,146,147,148},FALSE)),)&gt;90000,BT14+IFERROR(SUM(VLOOKUP(B14,'[1]Mar1 Payroll'!$B$9:$FJ$68,{137,147},FALSE)),),IF(BT14+BX14+BZ14+CA14+CB14+DZ14+IFERROR(SUM(VLOOKUP(B14,'[1]Mar1 Payroll'!$B$9:$EK$68,{133,137,140,141,144,146,147,148},FALSE)),)&lt;90000,0,0)),0)</f>
        <v>0</v>
      </c>
      <c r="EI14" s="27">
        <f>IFERROR(BU14+IFERROR(VLOOKUP(B14,'[1]Mar1 Payroll'!$B$9:$FJ$68,138,FALSE),),0)</f>
        <v>0</v>
      </c>
      <c r="EJ14" s="27">
        <f>IFERROR(BV14+IFERROR(VLOOKUP(B14,'[1]Mar1 Payroll'!$B$9:$FJ$68,139,FALSE),),0)</f>
        <v>0</v>
      </c>
      <c r="EK14" s="27">
        <f t="array" ref="EK14">IFERROR(IF(BT14+BX14+BZ14+CA14+CB14+DZ14+IFERROR(SUM(VLOOKUP(B14,'[1]Mar1 Payroll'!$B$9:$FJ$68,{133,137,140,141,144,146,147,148},FALSE)),)&gt;90000,BX14+IFERROR(SUM(VLOOKUP(B14,'[1]Mar1 Payroll'!$B$9:$FJ$68,{140,146},FALSE)),),IF(BT14+BX14+BZ14+CA14+CB14+DZ14+IFERROR(SUM(VLOOKUP(B14,'[1]Mar1 Payroll'!$B$9:$EK$68,{133,137,140,141,144,146,147,148},FALSE)),)&lt;90000,0,0)),0)</f>
        <v>0</v>
      </c>
      <c r="EL14" s="27">
        <f t="array" ref="EL14">IFERROR(IF(BT14+BX14+BZ14+CA14+CB14+DZ14+IFERROR(SUM(VLOOKUP(B14,'[1]Mar1 Payroll'!$B$9:$FJ$68,{133,137,140,141,144,146,147,148},FALSE)),)&gt;90000,BZ14+CA14+CB14+IFERROR(SUM(VLOOKUP(B14,'[1]Mar1 Payroll'!$B$9:$FJ$68,{141,148},FALSE)),),IF(BT14+BX14+BZ14+CA14+CB14+DZ14+IFERROR(SUM(VLOOKUP(B14,'[1]Mar1 Payroll'!$B$9:$EK$68,{133,137,140,141,144,146,147,148},FALSE)),)&lt;90000,0,0)),0)</f>
        <v>0</v>
      </c>
      <c r="EM14" s="27">
        <f t="shared" si="56"/>
        <v>0</v>
      </c>
      <c r="EN14" s="27">
        <f t="shared" si="57"/>
        <v>0</v>
      </c>
      <c r="EO14" s="27">
        <f t="array" ref="EO14">IFERROR(IF(BT14+BX14+BZ14+CA14+CB14+DZ14+IFERROR(SUM(VLOOKUP(B14,'[1]Mar1 Payroll'!$B$9:$FJ$68,{133,137,140,141,144,146,147,148},FALSE)),)&gt;90000,0,IF(BT14+BX14+BZ14+CA14+CB14+DZ14+IFERROR(SUM(VLOOKUP(B14,'[1]Mar1 Payroll'!$B$9:$EK$68,{133,137,140,141,144,146,147,148},FALSE)),)&lt;90000,DZ14+IFERROR(SUM(VLOOKUP(B14,'[1]Mar1 Payroll'!$B$9:$FJ$68,{133,144},FALSE)),),)),)</f>
        <v>214.5</v>
      </c>
      <c r="EP14" s="27">
        <f>IFERROR(BY14+IFERROR(VLOOKUP(B14,'[1]Mar1 Payroll'!$B$9:$FJ$68,145,FALSE),),0)</f>
        <v>0</v>
      </c>
      <c r="EQ14" s="27">
        <f t="array" ref="EQ14">IFERROR(IF(BT14+BX14+BZ14+CA14+CB14+DZ14+IFERROR(SUM(VLOOKUP(B14,'[1]Mar1 Payroll'!$B$9:$FJ$68,{133,137,140,141,144,146,147,148},FALSE)),)&gt;90000,0,IF(BT14+BX14+BZ14+CA14+CB14+DZ14+IFERROR(SUM(VLOOKUP(B14,'[1]Mar1 Payroll'!$B$9:$EK$68,{133,137,140,141,144,146,147,148},FALSE)),)&lt;90000,BX14+IFERROR(SUM(VLOOKUP(B14,'[1]Mar1 Payroll'!$B$9:$FJ$68,{140,146},FALSE)),))),0)</f>
        <v>0</v>
      </c>
      <c r="ER14" s="27">
        <f t="array" ref="ER14">IFERROR(IF(BT14+BX14+BZ14+CA14+CB14+DZ14+IFERROR(SUM(VLOOKUP(B14,'[1]Mar1 Payroll'!$B$9:$FJ$68,{133,137,140,141,144,146,147,148},FALSE)),)&gt;90000,0,IF(BT14+BX14+BZ14+CA14+CB14+DZ14+IFERROR(SUM(VLOOKUP(B14,'[1]Mar1 Payroll'!$B$9:$EK$68,{133,137,140,141,144,146,147,148},FALSE)),)&lt;90000,BT14+IFERROR(SUM(VLOOKUP(B14,'[1]Mar1 Payroll'!$B$9:$FJ$68,{137,147},FALSE)),))),0)</f>
        <v>0</v>
      </c>
      <c r="ES14" s="27">
        <f t="array" ref="ES14">IFERROR(IF(BT14+BX14+BZ14+CA14+CB14+DZ14+IFERROR(SUM(VLOOKUP(B14,'[1]Mar1 Payroll'!$B$9:$FJ$68,{133,137,140,141,144,146,147,148},FALSE)),)&gt;90000,0,IF(BT14+BX14+BZ14+CA14+CB14+DZ14+IFERROR(SUM(VLOOKUP(B14,'[1]Mar1 Payroll'!$B$9:$EK$68,{133,137,140,141,144,146,147,148},FALSE)),)&lt;90000,BZ14+CA14+CB14+IFERROR(SUM(VLOOKUP(B14,'[1]Mar1 Payroll'!$B$9:$FJ$68,{141,148},FALSE)),))),0)</f>
        <v>0</v>
      </c>
      <c r="ET14" s="27">
        <f t="shared" si="58"/>
        <v>0</v>
      </c>
      <c r="EU14" s="27">
        <f t="shared" si="59"/>
        <v>5148</v>
      </c>
      <c r="EV14" s="27">
        <f>IFERROR(DV14+DW14+DX14+IFERROR(VLOOKUP(B14,'[1]Mar1 Payroll'!$B$9:$FJ$68,151,FALSE),),0)</f>
        <v>0</v>
      </c>
      <c r="EW14" s="27">
        <f>IFERROR(CS14+IFERROR(VLOOKUP(B14,'[1]Mar1 Payroll'!$B$9:$FJ$68,152,FALSE),),0)</f>
        <v>0</v>
      </c>
      <c r="EX14" s="27">
        <f>IFERROR(CU14+CV14+IFERROR(VLOOKUP(B14,'[1]Mar1 Payroll'!$B$9:$FJ$68,153,FALSE),),0)</f>
        <v>0</v>
      </c>
      <c r="EY14" s="27">
        <f>IFERROR(CW14+CX14+IFERROR(VLOOKUP(B14,'[1]Mar1 Payroll'!$B$9:$FJ$68,154,FALSE),),0)</f>
        <v>0</v>
      </c>
      <c r="EZ14" s="27">
        <f>IFERROR(CJ14+IFERROR(VLOOKUP(B14,'[1]Mar1 Payroll'!$B$9:$FJ$68,155,FALSE),),0)</f>
        <v>0</v>
      </c>
      <c r="FA14" s="27">
        <f>IFERROR(DP14+DQ14+DR14+IFERROR(VLOOKUP(B14,'[1]Mar1 Payroll'!$B$9:$FJ$68,156,FALSE),),0)</f>
        <v>0</v>
      </c>
      <c r="FB14" s="27">
        <f>IFERROR(CZ14+IFERROR(VLOOKUP(B14,'[1]Mar1 Payroll'!$B$9:$FJ$68,157,FALSE),),0)</f>
        <v>0</v>
      </c>
      <c r="FC14" s="27">
        <f>IFERROR(DA14+IFERROR(VLOOKUP(B14,'[1]Mar1 Payroll'!$B$9:$FJ$68,158,FALSE),),0)</f>
        <v>0</v>
      </c>
      <c r="FD14" s="27">
        <f>IFERROR(DB14+IFERROR(VLOOKUP(B14,'[1]Mar1 Payroll'!$B$9:$FJ$68,159,FALSE),),0)</f>
        <v>0</v>
      </c>
      <c r="FE14" s="27">
        <f>IFERROR(DD14+IFERROR(VLOOKUP(B14,'[1]Mar1 Payroll'!$B$9:$FJ$68,160,FALSE),),0)</f>
        <v>0</v>
      </c>
      <c r="FF14" s="27">
        <f>IFERROR(DE14+IFERROR(VLOOKUP(B14,'[1]Mar1 Payroll'!$B$9:$FJ$68,161,FALSE),),0)</f>
        <v>0</v>
      </c>
      <c r="FG14" s="27">
        <f>IFERROR(DF14+IFERROR(VLOOKUP(B14,'[1]Mar1 Payroll'!$B$9:$FJ$68,162,FALSE),),0)</f>
        <v>0</v>
      </c>
      <c r="FH14" s="27">
        <f>IFERROR(DG14+IFERROR(VLOOKUP(B14,'[1]Mar1 Payroll'!$B$9:$FJ$68,163,FALSE),),0)</f>
        <v>0</v>
      </c>
      <c r="FI14" s="27">
        <f t="shared" si="60"/>
        <v>0</v>
      </c>
      <c r="FJ14" s="28">
        <f t="shared" si="61"/>
        <v>5148</v>
      </c>
      <c r="FM14" s="29">
        <f t="shared" si="62"/>
        <v>5148</v>
      </c>
      <c r="FN14" s="30">
        <f t="shared" si="28"/>
        <v>0</v>
      </c>
      <c r="FO14" s="30">
        <f t="shared" si="63"/>
        <v>0</v>
      </c>
      <c r="FP14" s="30">
        <f t="shared" si="28"/>
        <v>0</v>
      </c>
      <c r="FQ14" s="30">
        <f t="shared" si="28"/>
        <v>0</v>
      </c>
      <c r="FR14" s="30">
        <f t="shared" si="28"/>
        <v>0</v>
      </c>
      <c r="FS14" s="30">
        <f t="shared" si="64"/>
        <v>0</v>
      </c>
      <c r="FT14" s="30">
        <f t="shared" si="28"/>
        <v>0</v>
      </c>
      <c r="FU14" s="30">
        <f t="shared" si="28"/>
        <v>0</v>
      </c>
      <c r="FV14" s="30">
        <f t="shared" si="65"/>
        <v>0</v>
      </c>
      <c r="FW14" s="30">
        <f t="shared" si="66"/>
        <v>0</v>
      </c>
      <c r="FX14" s="30">
        <f t="shared" si="67"/>
        <v>0</v>
      </c>
      <c r="FY14" s="30">
        <f t="shared" si="68"/>
        <v>0</v>
      </c>
      <c r="FZ14" s="30">
        <f t="shared" si="69"/>
        <v>214.5</v>
      </c>
      <c r="GA14" s="30">
        <f t="shared" si="28"/>
        <v>0</v>
      </c>
      <c r="GB14" s="30">
        <f t="shared" si="70"/>
        <v>0</v>
      </c>
      <c r="GC14" s="30">
        <f t="shared" si="71"/>
        <v>0</v>
      </c>
      <c r="GD14" s="30">
        <f t="shared" si="72"/>
        <v>0</v>
      </c>
      <c r="GE14" s="30">
        <f t="shared" si="73"/>
        <v>0</v>
      </c>
      <c r="GF14" s="30">
        <f t="shared" si="74"/>
        <v>5148</v>
      </c>
      <c r="GG14" s="30">
        <f t="shared" si="29"/>
        <v>0</v>
      </c>
      <c r="GH14" s="30">
        <f t="shared" si="29"/>
        <v>0</v>
      </c>
      <c r="GI14" s="30">
        <f t="shared" si="29"/>
        <v>0</v>
      </c>
      <c r="GJ14" s="30">
        <f t="shared" si="29"/>
        <v>0</v>
      </c>
      <c r="GK14" s="30">
        <f t="shared" si="29"/>
        <v>0</v>
      </c>
      <c r="GL14" s="30">
        <f t="shared" si="29"/>
        <v>0</v>
      </c>
      <c r="GM14" s="30">
        <f t="shared" si="29"/>
        <v>0</v>
      </c>
      <c r="GN14" s="30">
        <f t="shared" si="29"/>
        <v>0</v>
      </c>
      <c r="GO14" s="30">
        <f t="shared" si="29"/>
        <v>0</v>
      </c>
      <c r="GP14" s="30">
        <f t="shared" si="29"/>
        <v>0</v>
      </c>
      <c r="GQ14" s="30">
        <f t="shared" si="29"/>
        <v>0</v>
      </c>
      <c r="GR14" s="30">
        <f t="shared" si="29"/>
        <v>0</v>
      </c>
      <c r="GS14" s="30">
        <f t="shared" si="29"/>
        <v>0</v>
      </c>
      <c r="GT14" s="30">
        <f t="shared" si="75"/>
        <v>0</v>
      </c>
      <c r="GU14" s="31">
        <f t="shared" si="76"/>
        <v>5148</v>
      </c>
    </row>
    <row r="15" spans="1:204" s="3" customFormat="1" ht="15.75" customHeight="1" thickBot="1" x14ac:dyDescent="0.3">
      <c r="A15" s="33">
        <f t="shared" si="30"/>
        <v>7</v>
      </c>
      <c r="B15" s="25" t="s">
        <v>154</v>
      </c>
      <c r="C15" s="37" t="s">
        <v>159</v>
      </c>
      <c r="D15" s="25"/>
      <c r="E15" s="37" t="s">
        <v>160</v>
      </c>
      <c r="F15" s="25"/>
      <c r="G15" s="25">
        <v>10296</v>
      </c>
      <c r="H15" s="22">
        <f t="shared" si="0"/>
        <v>5148</v>
      </c>
      <c r="I15" s="25"/>
      <c r="J15" s="22">
        <v>396</v>
      </c>
      <c r="K15" s="22">
        <f t="shared" si="31"/>
        <v>49.5</v>
      </c>
      <c r="L15" s="22">
        <f t="shared" si="32"/>
        <v>0.82499999999999996</v>
      </c>
      <c r="M15" s="22">
        <f t="shared" si="77"/>
        <v>5148</v>
      </c>
      <c r="N15" s="25"/>
      <c r="O15" s="22">
        <f t="shared" si="1"/>
        <v>0</v>
      </c>
      <c r="P15" s="25"/>
      <c r="Q15" s="22">
        <f t="shared" si="2"/>
        <v>0</v>
      </c>
      <c r="R15" s="25"/>
      <c r="S15" s="22">
        <f t="shared" si="3"/>
        <v>0</v>
      </c>
      <c r="T15" s="22">
        <f t="shared" si="34"/>
        <v>0</v>
      </c>
      <c r="U15" s="22">
        <f t="shared" si="35"/>
        <v>0</v>
      </c>
      <c r="V15" s="25"/>
      <c r="W15" s="22">
        <f t="shared" si="4"/>
        <v>0</v>
      </c>
      <c r="X15" s="25"/>
      <c r="Y15" s="22">
        <f t="shared" si="5"/>
        <v>0</v>
      </c>
      <c r="Z15" s="25"/>
      <c r="AA15" s="22">
        <f t="shared" si="6"/>
        <v>0</v>
      </c>
      <c r="AB15" s="25"/>
      <c r="AC15" s="22">
        <f t="shared" si="7"/>
        <v>0</v>
      </c>
      <c r="AD15" s="25"/>
      <c r="AE15" s="22">
        <f t="shared" si="8"/>
        <v>0</v>
      </c>
      <c r="AF15" s="25"/>
      <c r="AG15" s="22">
        <f t="shared" si="9"/>
        <v>0</v>
      </c>
      <c r="AH15" s="25"/>
      <c r="AI15" s="22">
        <f t="shared" si="10"/>
        <v>0</v>
      </c>
      <c r="AJ15" s="25"/>
      <c r="AK15" s="22">
        <f t="shared" si="11"/>
        <v>0</v>
      </c>
      <c r="AL15" s="22">
        <f t="shared" si="36"/>
        <v>0</v>
      </c>
      <c r="AM15" s="22">
        <f t="shared" si="36"/>
        <v>0</v>
      </c>
      <c r="AN15" s="25"/>
      <c r="AO15" s="22">
        <f t="shared" si="12"/>
        <v>0</v>
      </c>
      <c r="AP15" s="25"/>
      <c r="AQ15" s="22">
        <f t="shared" si="13"/>
        <v>0</v>
      </c>
      <c r="AR15" s="25"/>
      <c r="AS15" s="22">
        <f t="shared" si="14"/>
        <v>0</v>
      </c>
      <c r="AT15" s="25"/>
      <c r="AU15" s="22">
        <f t="shared" si="15"/>
        <v>0</v>
      </c>
      <c r="AV15" s="25"/>
      <c r="AW15" s="22">
        <f t="shared" si="16"/>
        <v>0</v>
      </c>
      <c r="AX15" s="25"/>
      <c r="AY15" s="22">
        <f t="shared" si="17"/>
        <v>0</v>
      </c>
      <c r="AZ15" s="25"/>
      <c r="BA15" s="22">
        <f t="shared" si="18"/>
        <v>0</v>
      </c>
      <c r="BB15" s="25"/>
      <c r="BC15" s="22">
        <f t="shared" si="19"/>
        <v>0</v>
      </c>
      <c r="BD15" s="25"/>
      <c r="BE15" s="22">
        <f t="shared" si="20"/>
        <v>0</v>
      </c>
      <c r="BF15" s="22">
        <f t="shared" si="37"/>
        <v>0</v>
      </c>
      <c r="BG15" s="22">
        <f t="shared" si="37"/>
        <v>0</v>
      </c>
      <c r="BH15" s="25"/>
      <c r="BI15" s="21">
        <f>IFERROR(VLOOKUP(B15,'[1]Mar1 Payroll'!$B$9:$FJ$68,66,FALSE),)</f>
        <v>0</v>
      </c>
      <c r="BJ15" s="21">
        <f>IFERROR(VLOOKUP(B15,'[1]Mar1 Payroll'!$B$9:$FJ$68,67,FALSE),)</f>
        <v>0</v>
      </c>
      <c r="BK15" s="25"/>
      <c r="BL15" s="25"/>
      <c r="BM15" s="25"/>
      <c r="BN15" s="25"/>
      <c r="BO15" s="21">
        <f t="shared" si="38"/>
        <v>0</v>
      </c>
      <c r="BP15" s="21">
        <f t="shared" si="38"/>
        <v>0</v>
      </c>
      <c r="BQ15" s="21">
        <f t="shared" si="39"/>
        <v>0</v>
      </c>
      <c r="BR15" s="21">
        <f t="shared" si="40"/>
        <v>0</v>
      </c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2">
        <f t="shared" si="41"/>
        <v>5148</v>
      </c>
      <c r="CD15" s="25"/>
      <c r="CE15" s="22">
        <f t="shared" si="21"/>
        <v>0</v>
      </c>
      <c r="CF15" s="34"/>
      <c r="CG15" s="21">
        <f t="shared" si="42"/>
        <v>0</v>
      </c>
      <c r="CH15" s="25"/>
      <c r="CI15" s="22">
        <f t="shared" si="22"/>
        <v>0</v>
      </c>
      <c r="CJ15" s="22">
        <f t="shared" si="43"/>
        <v>0</v>
      </c>
      <c r="CK15" s="35" t="str">
        <f>_xlfn.IFNA(VLOOKUP(B15,'[1]201'!$E$7:$H$66,2,FALSE),"")</f>
        <v/>
      </c>
      <c r="CL15" s="35" t="str">
        <f>_xlfn.IFNA(VLOOKUP(B15,'[1]201'!$E$7:$H$66,3,FALSE),"")</f>
        <v/>
      </c>
      <c r="CM15" s="35" t="str">
        <f>_xlfn.IFNA(VLOOKUP(B15,'[1]201'!$E$7:$H$66,4,FALSE),"")</f>
        <v/>
      </c>
      <c r="CN15" s="22">
        <f>_xlfn.IFNA(IF(CK15=0,0,IF($CN$8=1,-VLOOKUP(G15,[1]!SSSW[#Data],7,TRUE),0)),0)</f>
        <v>0</v>
      </c>
      <c r="CO15" s="22">
        <f>_xlfn.IFNA(IF(CK15=0,0,IF($CO$8=1,-VLOOKUP(M15,[1]!SSSW[#Data],7,TRUE),0)),0)</f>
        <v>0</v>
      </c>
      <c r="CP15" s="22">
        <f>_xlfn.IFNA(IF(CK15=0,0,IF($CP$8=1,-VLOOKUP(CC15+IFERROR(VLOOKUP(B15,'[1]Mar1 Payroll'!$B$9:$FJ$68,80,FALSE),),[1]!SSSW[#Data],7,TRUE),0)),0)</f>
        <v>0</v>
      </c>
      <c r="CQ15" s="22">
        <f>_xlfn.IFNA(IF(CK15=0,0,IF($CQ$8=1,-VLOOKUP(CC15,[1]!SSSW[#Data],7,TRUE),0)),0)</f>
        <v>0</v>
      </c>
      <c r="CR15" s="22">
        <f>IFERROR(IF(CQ15&lt;0,-VLOOKUP(CC15+IFERROR(VLOOKUP(B15,'[1]Mar1 Payroll'!$B$9:$FJ$68,80,FALSE),),[1]!SSSW[#Data],13,TRUE),IF(CP15&lt;0,-VLOOKUP(CC15+IFERROR(VLOOKUP(B15,'[1]Mar1 Payroll'!$B$9:$FJ$68,80,FALSE),),[1]!SSSW[#Data],13,TRUE),IF(CO15&lt;0,-VLOOKUP(G15,[1]!SSSW[#Data],13,TRUE),IF(CN15&lt;0,-VLOOKUP(G15,[1]!SSSW[#Data],13,TRUE),)))),)</f>
        <v>0</v>
      </c>
      <c r="CS15" s="22">
        <f t="shared" si="44"/>
        <v>0</v>
      </c>
      <c r="CT15" s="22">
        <f>IFERROR(IF(CN15&lt;0,-VLOOKUP(G15,[1]!SSSW[#Data],15,TRUE),IF(CQ15&lt;0,(-VLOOKUP(CC15,[1]!SSSW[#Data],15,TRUE)),IF(CP15&lt;0,-VLOOKUP(CC15+IFERROR(VLOOKUP(B15,'[1]Mar1 Payroll'!$B$9:$FJ$68,80,FALSE),),[1]!SSSW[#Data],15,TRUE),IF(CO15&lt;0,(-VLOOKUP(M15,[1]!SSSW[#Data],15,TRUE)),)))),)</f>
        <v>0</v>
      </c>
      <c r="CU15" s="22">
        <f t="shared" si="45"/>
        <v>0</v>
      </c>
      <c r="CV15" s="22">
        <f t="shared" si="46"/>
        <v>0</v>
      </c>
      <c r="CW15" s="22">
        <f t="shared" si="23"/>
        <v>0</v>
      </c>
      <c r="CX15" s="22">
        <f t="shared" si="24"/>
        <v>0</v>
      </c>
      <c r="CY15" s="22">
        <f t="shared" si="47"/>
        <v>0</v>
      </c>
      <c r="CZ15" s="25"/>
      <c r="DA15" s="25"/>
      <c r="DB15" s="25"/>
      <c r="DC15" s="22">
        <f t="shared" si="48"/>
        <v>0</v>
      </c>
      <c r="DD15" s="25"/>
      <c r="DE15" s="25"/>
      <c r="DF15" s="25"/>
      <c r="DG15" s="25"/>
      <c r="DH15" s="22">
        <f t="shared" si="49"/>
        <v>0</v>
      </c>
      <c r="DI15" s="34"/>
      <c r="DJ15" s="34"/>
      <c r="DK15" s="34"/>
      <c r="DL15" s="34"/>
      <c r="DM15" s="34"/>
      <c r="DN15" s="34"/>
      <c r="DO15" s="21">
        <f t="shared" si="50"/>
        <v>0</v>
      </c>
      <c r="DP15" s="34"/>
      <c r="DQ15" s="34"/>
      <c r="DR15" s="25"/>
      <c r="DS15" s="22">
        <f t="shared" si="51"/>
        <v>0</v>
      </c>
      <c r="DT15" s="22">
        <f t="shared" si="25"/>
        <v>5148</v>
      </c>
      <c r="DU15" s="22">
        <f t="shared" si="52"/>
        <v>5148</v>
      </c>
      <c r="DV15" s="25">
        <f t="shared" si="26"/>
        <v>0</v>
      </c>
      <c r="DW15" s="22">
        <f t="shared" si="53"/>
        <v>0</v>
      </c>
      <c r="DX15" s="25">
        <f t="shared" si="54"/>
        <v>0</v>
      </c>
      <c r="DY15" s="22">
        <f t="shared" si="55"/>
        <v>5148</v>
      </c>
      <c r="DZ15" s="26">
        <f t="shared" si="27"/>
        <v>214.5</v>
      </c>
      <c r="EA15"/>
      <c r="EB15" s="27">
        <f>IFERROR(M15+IFERROR(VLOOKUP(B15,'[1]Mar1 Payroll'!$B$9:$FJ$68,131,FALSE),),0)</f>
        <v>5148</v>
      </c>
      <c r="EC15" s="27">
        <f>IFERROR(O15+U15+AM15+BG15+BH15+IFERROR(VLOOKUP(B15,'[1]Mar1 Payroll'!$B$9:$FJ$68,132,FALSE),),)</f>
        <v>0</v>
      </c>
      <c r="ED15" s="27">
        <f t="array" ref="ED15">IFERROR(IF(BT15+BX15+BZ15+CA15+CB15+DZ15+IFERROR(SUM(VLOOKUP(B15,'[1]Mar1 Payroll'!$B$9:$FJ$68,{133,137,140,141,144,146,147,148},FALSE)),)&gt;90000,DZ15+IFERROR(SUM(VLOOKUP(B15,'[1]Mar1 Payroll'!$B$9:$FJ$68,{133,144},FALSE)),),IF(BT15+BX15+BZ15+CA15+CB15+DZ15+IFERROR(SUM(VLOOKUP(B15,'[1]Mar1 Payroll'!$B$9:$EK$68,{133,137,140,141,144,146,147,148},FALSE)),)&lt;90000,0,0)),0)</f>
        <v>0</v>
      </c>
      <c r="EE15" s="27">
        <f>IFERROR(BS15+IFERROR(VLOOKUP(B15,'[1]Mar1 Payroll'!$B$9:$FJ$68,134,FALSE),),0)</f>
        <v>0</v>
      </c>
      <c r="EF15" s="27">
        <f>IFERROR(BQ15+IFERROR(VLOOKUP(B15,'[1]Mar1 Payroll'!$B$9:$FJ$68,135,FALSE),),0)</f>
        <v>0</v>
      </c>
      <c r="EG15" s="27">
        <f>IFERROR(BR15+IFERROR(VLOOKUP(B15,'[1]Mar1 Payroll'!$B$9:$FJ$68,136,FALSE),),0)</f>
        <v>0</v>
      </c>
      <c r="EH15" s="27">
        <f t="array" ref="EH15">IFERROR(IF(BT15+BX15+BZ15+CA15+CB15+DZ15+IFERROR(SUM(VLOOKUP(B15,'[1]Mar1 Payroll'!$B$9:$FJ$68,{133,137,140,141,144,146,147,148},FALSE)),)&gt;90000,BT15+IFERROR(SUM(VLOOKUP(B15,'[1]Mar1 Payroll'!$B$9:$FJ$68,{137,147},FALSE)),),IF(BT15+BX15+BZ15+CA15+CB15+DZ15+IFERROR(SUM(VLOOKUP(B15,'[1]Mar1 Payroll'!$B$9:$EK$68,{133,137,140,141,144,146,147,148},FALSE)),)&lt;90000,0,0)),0)</f>
        <v>0</v>
      </c>
      <c r="EI15" s="27">
        <f>IFERROR(BU15+IFERROR(VLOOKUP(B15,'[1]Mar1 Payroll'!$B$9:$FJ$68,138,FALSE),),0)</f>
        <v>0</v>
      </c>
      <c r="EJ15" s="27">
        <f>IFERROR(BV15+IFERROR(VLOOKUP(B15,'[1]Mar1 Payroll'!$B$9:$FJ$68,139,FALSE),),0)</f>
        <v>0</v>
      </c>
      <c r="EK15" s="27">
        <f t="array" ref="EK15">IFERROR(IF(BT15+BX15+BZ15+CA15+CB15+DZ15+IFERROR(SUM(VLOOKUP(B15,'[1]Mar1 Payroll'!$B$9:$FJ$68,{133,137,140,141,144,146,147,148},FALSE)),)&gt;90000,BX15+IFERROR(SUM(VLOOKUP(B15,'[1]Mar1 Payroll'!$B$9:$FJ$68,{140,146},FALSE)),),IF(BT15+BX15+BZ15+CA15+CB15+DZ15+IFERROR(SUM(VLOOKUP(B15,'[1]Mar1 Payroll'!$B$9:$EK$68,{133,137,140,141,144,146,147,148},FALSE)),)&lt;90000,0,0)),0)</f>
        <v>0</v>
      </c>
      <c r="EL15" s="27">
        <f t="array" ref="EL15">IFERROR(IF(BT15+BX15+BZ15+CA15+CB15+DZ15+IFERROR(SUM(VLOOKUP(B15,'[1]Mar1 Payroll'!$B$9:$FJ$68,{133,137,140,141,144,146,147,148},FALSE)),)&gt;90000,BZ15+CA15+CB15+IFERROR(SUM(VLOOKUP(B15,'[1]Mar1 Payroll'!$B$9:$FJ$68,{141,148},FALSE)),),IF(BT15+BX15+BZ15+CA15+CB15+DZ15+IFERROR(SUM(VLOOKUP(B15,'[1]Mar1 Payroll'!$B$9:$EK$68,{133,137,140,141,144,146,147,148},FALSE)),)&lt;90000,0,0)),0)</f>
        <v>0</v>
      </c>
      <c r="EM15" s="27">
        <f t="shared" si="56"/>
        <v>0</v>
      </c>
      <c r="EN15" s="27">
        <f t="shared" si="57"/>
        <v>0</v>
      </c>
      <c r="EO15" s="27">
        <f t="array" ref="EO15">IFERROR(IF(BT15+BX15+BZ15+CA15+CB15+DZ15+IFERROR(SUM(VLOOKUP(B15,'[1]Mar1 Payroll'!$B$9:$FJ$68,{133,137,140,141,144,146,147,148},FALSE)),)&gt;90000,0,IF(BT15+BX15+BZ15+CA15+CB15+DZ15+IFERROR(SUM(VLOOKUP(B15,'[1]Mar1 Payroll'!$B$9:$EK$68,{133,137,140,141,144,146,147,148},FALSE)),)&lt;90000,DZ15+IFERROR(SUM(VLOOKUP(B15,'[1]Mar1 Payroll'!$B$9:$FJ$68,{133,144},FALSE)),),)),)</f>
        <v>214.5</v>
      </c>
      <c r="EP15" s="27">
        <f>IFERROR(BY15+IFERROR(VLOOKUP(B15,'[1]Mar1 Payroll'!$B$9:$FJ$68,145,FALSE),),0)</f>
        <v>0</v>
      </c>
      <c r="EQ15" s="27">
        <f t="array" ref="EQ15">IFERROR(IF(BT15+BX15+BZ15+CA15+CB15+DZ15+IFERROR(SUM(VLOOKUP(B15,'[1]Mar1 Payroll'!$B$9:$FJ$68,{133,137,140,141,144,146,147,148},FALSE)),)&gt;90000,0,IF(BT15+BX15+BZ15+CA15+CB15+DZ15+IFERROR(SUM(VLOOKUP(B15,'[1]Mar1 Payroll'!$B$9:$EK$68,{133,137,140,141,144,146,147,148},FALSE)),)&lt;90000,BX15+IFERROR(SUM(VLOOKUP(B15,'[1]Mar1 Payroll'!$B$9:$FJ$68,{140,146},FALSE)),))),0)</f>
        <v>0</v>
      </c>
      <c r="ER15" s="27">
        <f t="array" ref="ER15">IFERROR(IF(BT15+BX15+BZ15+CA15+CB15+DZ15+IFERROR(SUM(VLOOKUP(B15,'[1]Mar1 Payroll'!$B$9:$FJ$68,{133,137,140,141,144,146,147,148},FALSE)),)&gt;90000,0,IF(BT15+BX15+BZ15+CA15+CB15+DZ15+IFERROR(SUM(VLOOKUP(B15,'[1]Mar1 Payroll'!$B$9:$EK$68,{133,137,140,141,144,146,147,148},FALSE)),)&lt;90000,BT15+IFERROR(SUM(VLOOKUP(B15,'[1]Mar1 Payroll'!$B$9:$FJ$68,{137,147},FALSE)),))),0)</f>
        <v>0</v>
      </c>
      <c r="ES15" s="27">
        <f t="array" ref="ES15">IFERROR(IF(BT15+BX15+BZ15+CA15+CB15+DZ15+IFERROR(SUM(VLOOKUP(B15,'[1]Mar1 Payroll'!$B$9:$FJ$68,{133,137,140,141,144,146,147,148},FALSE)),)&gt;90000,0,IF(BT15+BX15+BZ15+CA15+CB15+DZ15+IFERROR(SUM(VLOOKUP(B15,'[1]Mar1 Payroll'!$B$9:$EK$68,{133,137,140,141,144,146,147,148},FALSE)),)&lt;90000,BZ15+CA15+CB15+IFERROR(SUM(VLOOKUP(B15,'[1]Mar1 Payroll'!$B$9:$FJ$68,{141,148},FALSE)),))),0)</f>
        <v>0</v>
      </c>
      <c r="ET15" s="27">
        <f t="shared" si="58"/>
        <v>0</v>
      </c>
      <c r="EU15" s="27">
        <f t="shared" si="59"/>
        <v>5148</v>
      </c>
      <c r="EV15" s="27">
        <f>IFERROR(DV15+DW15+DX15+IFERROR(VLOOKUP(B15,'[1]Mar1 Payroll'!$B$9:$FJ$68,151,FALSE),),0)</f>
        <v>0</v>
      </c>
      <c r="EW15" s="27">
        <f>IFERROR(CS15+IFERROR(VLOOKUP(B15,'[1]Mar1 Payroll'!$B$9:$FJ$68,152,FALSE),),0)</f>
        <v>0</v>
      </c>
      <c r="EX15" s="27">
        <f>IFERROR(CU15+CV15+IFERROR(VLOOKUP(B15,'[1]Mar1 Payroll'!$B$9:$FJ$68,153,FALSE),),0)</f>
        <v>0</v>
      </c>
      <c r="EY15" s="27">
        <f>IFERROR(CW15+CX15+IFERROR(VLOOKUP(B15,'[1]Mar1 Payroll'!$B$9:$FJ$68,154,FALSE),),0)</f>
        <v>0</v>
      </c>
      <c r="EZ15" s="27">
        <f>IFERROR(CJ15+IFERROR(VLOOKUP(B15,'[1]Mar1 Payroll'!$B$9:$FJ$68,155,FALSE),),0)</f>
        <v>0</v>
      </c>
      <c r="FA15" s="27">
        <f>IFERROR(DP15+DQ15+DR15+IFERROR(VLOOKUP(B15,'[1]Mar1 Payroll'!$B$9:$FJ$68,156,FALSE),),0)</f>
        <v>0</v>
      </c>
      <c r="FB15" s="27">
        <f>IFERROR(CZ15+IFERROR(VLOOKUP(B15,'[1]Mar1 Payroll'!$B$9:$FJ$68,157,FALSE),),0)</f>
        <v>0</v>
      </c>
      <c r="FC15" s="27">
        <f>IFERROR(DA15+IFERROR(VLOOKUP(B15,'[1]Mar1 Payroll'!$B$9:$FJ$68,158,FALSE),),0)</f>
        <v>0</v>
      </c>
      <c r="FD15" s="27">
        <f>IFERROR(DB15+IFERROR(VLOOKUP(B15,'[1]Mar1 Payroll'!$B$9:$FJ$68,159,FALSE),),0)</f>
        <v>0</v>
      </c>
      <c r="FE15" s="27">
        <f>IFERROR(DD15+IFERROR(VLOOKUP(B15,'[1]Mar1 Payroll'!$B$9:$FJ$68,160,FALSE),),0)</f>
        <v>0</v>
      </c>
      <c r="FF15" s="27">
        <f>IFERROR(DE15+IFERROR(VLOOKUP(B15,'[1]Mar1 Payroll'!$B$9:$FJ$68,161,FALSE),),0)</f>
        <v>0</v>
      </c>
      <c r="FG15" s="27">
        <f>IFERROR(DF15+IFERROR(VLOOKUP(B15,'[1]Mar1 Payroll'!$B$9:$FJ$68,162,FALSE),),0)</f>
        <v>0</v>
      </c>
      <c r="FH15" s="27">
        <f>IFERROR(DG15+IFERROR(VLOOKUP(B15,'[1]Mar1 Payroll'!$B$9:$FJ$68,163,FALSE),),0)</f>
        <v>0</v>
      </c>
      <c r="FI15" s="27">
        <f t="shared" si="60"/>
        <v>0</v>
      </c>
      <c r="FJ15" s="28">
        <f t="shared" si="61"/>
        <v>5148</v>
      </c>
      <c r="FK15" s="5"/>
      <c r="FM15" s="29">
        <f t="shared" si="62"/>
        <v>5148</v>
      </c>
      <c r="FN15" s="30">
        <f t="shared" si="28"/>
        <v>0</v>
      </c>
      <c r="FO15" s="30">
        <f t="shared" si="63"/>
        <v>0</v>
      </c>
      <c r="FP15" s="30">
        <f t="shared" si="28"/>
        <v>0</v>
      </c>
      <c r="FQ15" s="30">
        <f t="shared" si="28"/>
        <v>0</v>
      </c>
      <c r="FR15" s="30">
        <f t="shared" si="28"/>
        <v>0</v>
      </c>
      <c r="FS15" s="30">
        <f t="shared" si="64"/>
        <v>0</v>
      </c>
      <c r="FT15" s="30">
        <f t="shared" si="28"/>
        <v>0</v>
      </c>
      <c r="FU15" s="30">
        <f t="shared" si="28"/>
        <v>0</v>
      </c>
      <c r="FV15" s="30">
        <f t="shared" si="65"/>
        <v>0</v>
      </c>
      <c r="FW15" s="30">
        <f t="shared" si="66"/>
        <v>0</v>
      </c>
      <c r="FX15" s="30">
        <f t="shared" si="67"/>
        <v>0</v>
      </c>
      <c r="FY15" s="30">
        <f t="shared" si="68"/>
        <v>0</v>
      </c>
      <c r="FZ15" s="30">
        <f t="shared" si="69"/>
        <v>214.5</v>
      </c>
      <c r="GA15" s="30">
        <f t="shared" si="28"/>
        <v>0</v>
      </c>
      <c r="GB15" s="30">
        <f t="shared" si="70"/>
        <v>0</v>
      </c>
      <c r="GC15" s="30">
        <f t="shared" si="71"/>
        <v>0</v>
      </c>
      <c r="GD15" s="30">
        <f t="shared" si="72"/>
        <v>0</v>
      </c>
      <c r="GE15" s="30">
        <f t="shared" si="73"/>
        <v>0</v>
      </c>
      <c r="GF15" s="30">
        <f t="shared" si="74"/>
        <v>5148</v>
      </c>
      <c r="GG15" s="30">
        <f t="shared" si="29"/>
        <v>0</v>
      </c>
      <c r="GH15" s="30">
        <f t="shared" si="29"/>
        <v>0</v>
      </c>
      <c r="GI15" s="30">
        <f t="shared" si="29"/>
        <v>0</v>
      </c>
      <c r="GJ15" s="30">
        <f t="shared" si="29"/>
        <v>0</v>
      </c>
      <c r="GK15" s="30">
        <f t="shared" si="29"/>
        <v>0</v>
      </c>
      <c r="GL15" s="30">
        <f t="shared" si="29"/>
        <v>0</v>
      </c>
      <c r="GM15" s="30">
        <f t="shared" si="29"/>
        <v>0</v>
      </c>
      <c r="GN15" s="30">
        <f t="shared" si="29"/>
        <v>0</v>
      </c>
      <c r="GO15" s="30">
        <f t="shared" si="29"/>
        <v>0</v>
      </c>
      <c r="GP15" s="30">
        <f t="shared" si="29"/>
        <v>0</v>
      </c>
      <c r="GQ15" s="30">
        <f t="shared" si="29"/>
        <v>0</v>
      </c>
      <c r="GR15" s="30">
        <f t="shared" si="29"/>
        <v>0</v>
      </c>
      <c r="GS15" s="30">
        <f t="shared" si="29"/>
        <v>0</v>
      </c>
      <c r="GT15" s="30">
        <f t="shared" si="75"/>
        <v>0</v>
      </c>
      <c r="GU15" s="31">
        <f t="shared" si="76"/>
        <v>5148</v>
      </c>
    </row>
    <row r="16" spans="1:204" s="3" customFormat="1" ht="15.75" customHeight="1" thickBot="1" x14ac:dyDescent="0.3">
      <c r="A16" s="33">
        <f t="shared" si="30"/>
        <v>8</v>
      </c>
      <c r="B16" s="25" t="s">
        <v>155</v>
      </c>
      <c r="C16" s="37" t="s">
        <v>159</v>
      </c>
      <c r="D16" s="25"/>
      <c r="E16" s="37" t="s">
        <v>160</v>
      </c>
      <c r="F16" s="25"/>
      <c r="G16" s="25">
        <v>10296</v>
      </c>
      <c r="H16" s="22">
        <f t="shared" si="0"/>
        <v>5148</v>
      </c>
      <c r="I16" s="25"/>
      <c r="J16" s="22">
        <v>396</v>
      </c>
      <c r="K16" s="22">
        <f t="shared" si="31"/>
        <v>49.5</v>
      </c>
      <c r="L16" s="22">
        <f t="shared" si="32"/>
        <v>0.82499999999999996</v>
      </c>
      <c r="M16" s="22">
        <f t="shared" si="77"/>
        <v>5148</v>
      </c>
      <c r="N16" s="25"/>
      <c r="O16" s="22">
        <f t="shared" si="1"/>
        <v>0</v>
      </c>
      <c r="P16" s="25"/>
      <c r="Q16" s="22">
        <f t="shared" si="2"/>
        <v>0</v>
      </c>
      <c r="R16" s="25"/>
      <c r="S16" s="22">
        <f t="shared" si="3"/>
        <v>0</v>
      </c>
      <c r="T16" s="22">
        <f t="shared" si="34"/>
        <v>0</v>
      </c>
      <c r="U16" s="22">
        <f t="shared" si="35"/>
        <v>0</v>
      </c>
      <c r="V16" s="25"/>
      <c r="W16" s="22">
        <f t="shared" si="4"/>
        <v>0</v>
      </c>
      <c r="X16" s="25"/>
      <c r="Y16" s="22">
        <f t="shared" si="5"/>
        <v>0</v>
      </c>
      <c r="Z16" s="25"/>
      <c r="AA16" s="22">
        <f t="shared" si="6"/>
        <v>0</v>
      </c>
      <c r="AB16" s="25"/>
      <c r="AC16" s="22">
        <f t="shared" si="7"/>
        <v>0</v>
      </c>
      <c r="AD16" s="25"/>
      <c r="AE16" s="22">
        <f t="shared" si="8"/>
        <v>0</v>
      </c>
      <c r="AF16" s="25"/>
      <c r="AG16" s="22">
        <f t="shared" si="9"/>
        <v>0</v>
      </c>
      <c r="AH16" s="25"/>
      <c r="AI16" s="22">
        <f t="shared" si="10"/>
        <v>0</v>
      </c>
      <c r="AJ16" s="25"/>
      <c r="AK16" s="22">
        <f t="shared" si="11"/>
        <v>0</v>
      </c>
      <c r="AL16" s="22">
        <f t="shared" si="36"/>
        <v>0</v>
      </c>
      <c r="AM16" s="22">
        <f t="shared" si="36"/>
        <v>0</v>
      </c>
      <c r="AN16" s="25"/>
      <c r="AO16" s="22">
        <f t="shared" si="12"/>
        <v>0</v>
      </c>
      <c r="AP16" s="25"/>
      <c r="AQ16" s="22">
        <f t="shared" si="13"/>
        <v>0</v>
      </c>
      <c r="AR16" s="25"/>
      <c r="AS16" s="22">
        <f t="shared" si="14"/>
        <v>0</v>
      </c>
      <c r="AT16" s="25"/>
      <c r="AU16" s="22">
        <f t="shared" si="15"/>
        <v>0</v>
      </c>
      <c r="AV16" s="25"/>
      <c r="AW16" s="22">
        <f t="shared" si="16"/>
        <v>0</v>
      </c>
      <c r="AX16" s="25"/>
      <c r="AY16" s="22">
        <f t="shared" si="17"/>
        <v>0</v>
      </c>
      <c r="AZ16" s="25"/>
      <c r="BA16" s="22">
        <f t="shared" si="18"/>
        <v>0</v>
      </c>
      <c r="BB16" s="25"/>
      <c r="BC16" s="22">
        <f t="shared" si="19"/>
        <v>0</v>
      </c>
      <c r="BD16" s="25"/>
      <c r="BE16" s="22">
        <f t="shared" si="20"/>
        <v>0</v>
      </c>
      <c r="BF16" s="22">
        <f t="shared" si="37"/>
        <v>0</v>
      </c>
      <c r="BG16" s="22">
        <f t="shared" si="37"/>
        <v>0</v>
      </c>
      <c r="BH16" s="25"/>
      <c r="BI16" s="21">
        <f>IFERROR(VLOOKUP(B16,'[1]Mar1 Payroll'!$B$9:$FJ$68,66,FALSE),)</f>
        <v>0</v>
      </c>
      <c r="BJ16" s="21">
        <f>IFERROR(VLOOKUP(B16,'[1]Mar1 Payroll'!$B$9:$FJ$68,67,FALSE),)</f>
        <v>0</v>
      </c>
      <c r="BK16" s="25"/>
      <c r="BL16" s="25"/>
      <c r="BM16" s="25"/>
      <c r="BN16" s="25"/>
      <c r="BO16" s="21">
        <f t="shared" si="38"/>
        <v>0</v>
      </c>
      <c r="BP16" s="21">
        <f t="shared" si="38"/>
        <v>0</v>
      </c>
      <c r="BQ16" s="21">
        <f t="shared" si="39"/>
        <v>0</v>
      </c>
      <c r="BR16" s="21">
        <f t="shared" si="40"/>
        <v>0</v>
      </c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2">
        <f t="shared" si="41"/>
        <v>5148</v>
      </c>
      <c r="CD16" s="25"/>
      <c r="CE16" s="22">
        <f t="shared" si="21"/>
        <v>0</v>
      </c>
      <c r="CF16" s="34"/>
      <c r="CG16" s="21">
        <f t="shared" si="42"/>
        <v>0</v>
      </c>
      <c r="CH16" s="25"/>
      <c r="CI16" s="22">
        <f t="shared" si="22"/>
        <v>0</v>
      </c>
      <c r="CJ16" s="22">
        <f t="shared" si="43"/>
        <v>0</v>
      </c>
      <c r="CK16" s="35" t="str">
        <f>_xlfn.IFNA(VLOOKUP(B16,'[1]201'!$E$7:$H$66,2,FALSE),"")</f>
        <v/>
      </c>
      <c r="CL16" s="35" t="str">
        <f>_xlfn.IFNA(VLOOKUP(B16,'[1]201'!$E$7:$H$66,3,FALSE),"")</f>
        <v/>
      </c>
      <c r="CM16" s="35" t="str">
        <f>_xlfn.IFNA(VLOOKUP(B16,'[1]201'!$E$7:$H$66,4,FALSE),"")</f>
        <v/>
      </c>
      <c r="CN16" s="22">
        <f>_xlfn.IFNA(IF(CK16=0,0,IF($CN$8=1,-VLOOKUP(G16,[1]!SSSW[#Data],7,TRUE),0)),0)</f>
        <v>0</v>
      </c>
      <c r="CO16" s="22">
        <f>_xlfn.IFNA(IF(CK16=0,0,IF($CO$8=1,-VLOOKUP(M16,[1]!SSSW[#Data],7,TRUE),0)),0)</f>
        <v>0</v>
      </c>
      <c r="CP16" s="22">
        <f>_xlfn.IFNA(IF(CK16=0,0,IF($CP$8=1,-VLOOKUP(CC16+IFERROR(VLOOKUP(B16,'[1]Mar1 Payroll'!$B$9:$FJ$68,80,FALSE),),[1]!SSSW[#Data],7,TRUE),0)),0)</f>
        <v>0</v>
      </c>
      <c r="CQ16" s="22">
        <f>_xlfn.IFNA(IF(CK16=0,0,IF($CQ$8=1,-VLOOKUP(CC16,[1]!SSSW[#Data],7,TRUE),0)),0)</f>
        <v>0</v>
      </c>
      <c r="CR16" s="22">
        <f>IFERROR(IF(CQ16&lt;0,-VLOOKUP(CC16+IFERROR(VLOOKUP(B16,'[1]Mar1 Payroll'!$B$9:$FJ$68,80,FALSE),),[1]!SSSW[#Data],13,TRUE),IF(CP16&lt;0,-VLOOKUP(CC16+IFERROR(VLOOKUP(B16,'[1]Mar1 Payroll'!$B$9:$FJ$68,80,FALSE),),[1]!SSSW[#Data],13,TRUE),IF(CO16&lt;0,-VLOOKUP(G16,[1]!SSSW[#Data],13,TRUE),IF(CN16&lt;0,-VLOOKUP(G16,[1]!SSSW[#Data],13,TRUE),)))),)</f>
        <v>0</v>
      </c>
      <c r="CS16" s="22">
        <f t="shared" si="44"/>
        <v>0</v>
      </c>
      <c r="CT16" s="22">
        <f>IFERROR(IF(CN16&lt;0,-VLOOKUP(G16,[1]!SSSW[#Data],15,TRUE),IF(CQ16&lt;0,(-VLOOKUP(CC16,[1]!SSSW[#Data],15,TRUE)),IF(CP16&lt;0,-VLOOKUP(CC16+IFERROR(VLOOKUP(B16,'[1]Mar1 Payroll'!$B$9:$FJ$68,80,FALSE),),[1]!SSSW[#Data],15,TRUE),IF(CO16&lt;0,(-VLOOKUP(M16,[1]!SSSW[#Data],15,TRUE)),)))),)</f>
        <v>0</v>
      </c>
      <c r="CU16" s="22">
        <f t="shared" si="45"/>
        <v>0</v>
      </c>
      <c r="CV16" s="22">
        <f t="shared" si="46"/>
        <v>0</v>
      </c>
      <c r="CW16" s="22">
        <f t="shared" si="23"/>
        <v>0</v>
      </c>
      <c r="CX16" s="22">
        <f t="shared" si="24"/>
        <v>0</v>
      </c>
      <c r="CY16" s="22">
        <f t="shared" si="47"/>
        <v>0</v>
      </c>
      <c r="CZ16" s="25"/>
      <c r="DA16" s="25"/>
      <c r="DB16" s="25"/>
      <c r="DC16" s="22">
        <f t="shared" si="48"/>
        <v>0</v>
      </c>
      <c r="DD16" s="25"/>
      <c r="DE16" s="25"/>
      <c r="DF16" s="25"/>
      <c r="DG16" s="25"/>
      <c r="DH16" s="22">
        <f t="shared" si="49"/>
        <v>0</v>
      </c>
      <c r="DI16" s="34"/>
      <c r="DJ16" s="34"/>
      <c r="DK16" s="34"/>
      <c r="DL16" s="34"/>
      <c r="DM16" s="34"/>
      <c r="DN16" s="34"/>
      <c r="DO16" s="21">
        <f t="shared" si="50"/>
        <v>0</v>
      </c>
      <c r="DP16" s="34"/>
      <c r="DQ16" s="34"/>
      <c r="DR16" s="25"/>
      <c r="DS16" s="22">
        <f t="shared" si="51"/>
        <v>0</v>
      </c>
      <c r="DT16" s="22">
        <f t="shared" si="25"/>
        <v>5148</v>
      </c>
      <c r="DU16" s="22">
        <f t="shared" si="52"/>
        <v>5148</v>
      </c>
      <c r="DV16" s="25">
        <f t="shared" si="26"/>
        <v>0</v>
      </c>
      <c r="DW16" s="22">
        <f t="shared" si="53"/>
        <v>0</v>
      </c>
      <c r="DX16" s="25">
        <f t="shared" si="54"/>
        <v>0</v>
      </c>
      <c r="DY16" s="22">
        <f t="shared" si="55"/>
        <v>5148</v>
      </c>
      <c r="DZ16" s="26">
        <f t="shared" si="27"/>
        <v>214.5</v>
      </c>
      <c r="EA16"/>
      <c r="EB16" s="27">
        <f>IFERROR(M16+IFERROR(VLOOKUP(B16,'[1]Mar1 Payroll'!$B$9:$FJ$68,131,FALSE),),0)</f>
        <v>5148</v>
      </c>
      <c r="EC16" s="27">
        <f>IFERROR(O16+U16+AM16+BG16+BH16+IFERROR(VLOOKUP(B16,'[1]Mar1 Payroll'!$B$9:$FJ$68,132,FALSE),),)</f>
        <v>0</v>
      </c>
      <c r="ED16" s="27">
        <f t="array" ref="ED16">IFERROR(IF(BT16+BX16+BZ16+CA16+CB16+DZ16+IFERROR(SUM(VLOOKUP(B16,'[1]Mar1 Payroll'!$B$9:$FJ$68,{133,137,140,141,144,146,147,148},FALSE)),)&gt;90000,DZ16+IFERROR(SUM(VLOOKUP(B16,'[1]Mar1 Payroll'!$B$9:$FJ$68,{133,144},FALSE)),),IF(BT16+BX16+BZ16+CA16+CB16+DZ16+IFERROR(SUM(VLOOKUP(B16,'[1]Mar1 Payroll'!$B$9:$EK$68,{133,137,140,141,144,146,147,148},FALSE)),)&lt;90000,0,0)),0)</f>
        <v>0</v>
      </c>
      <c r="EE16" s="27">
        <f>IFERROR(BS16+IFERROR(VLOOKUP(B16,'[1]Mar1 Payroll'!$B$9:$FJ$68,134,FALSE),),0)</f>
        <v>0</v>
      </c>
      <c r="EF16" s="27">
        <f>IFERROR(BQ16+IFERROR(VLOOKUP(B16,'[1]Mar1 Payroll'!$B$9:$FJ$68,135,FALSE),),0)</f>
        <v>0</v>
      </c>
      <c r="EG16" s="27">
        <f>IFERROR(BR16+IFERROR(VLOOKUP(B16,'[1]Mar1 Payroll'!$B$9:$FJ$68,136,FALSE),),0)</f>
        <v>0</v>
      </c>
      <c r="EH16" s="27">
        <f t="array" ref="EH16">IFERROR(IF(BT16+BX16+BZ16+CA16+CB16+DZ16+IFERROR(SUM(VLOOKUP(B16,'[1]Mar1 Payroll'!$B$9:$FJ$68,{133,137,140,141,144,146,147,148},FALSE)),)&gt;90000,BT16+IFERROR(SUM(VLOOKUP(B16,'[1]Mar1 Payroll'!$B$9:$FJ$68,{137,147},FALSE)),),IF(BT16+BX16+BZ16+CA16+CB16+DZ16+IFERROR(SUM(VLOOKUP(B16,'[1]Mar1 Payroll'!$B$9:$EK$68,{133,137,140,141,144,146,147,148},FALSE)),)&lt;90000,0,0)),0)</f>
        <v>0</v>
      </c>
      <c r="EI16" s="27">
        <f>IFERROR(BU16+IFERROR(VLOOKUP(B16,'[1]Mar1 Payroll'!$B$9:$FJ$68,138,FALSE),),0)</f>
        <v>0</v>
      </c>
      <c r="EJ16" s="27">
        <f>IFERROR(BV16+IFERROR(VLOOKUP(B16,'[1]Mar1 Payroll'!$B$9:$FJ$68,139,FALSE),),0)</f>
        <v>0</v>
      </c>
      <c r="EK16" s="27">
        <f t="array" ref="EK16">IFERROR(IF(BT16+BX16+BZ16+CA16+CB16+DZ16+IFERROR(SUM(VLOOKUP(B16,'[1]Mar1 Payroll'!$B$9:$FJ$68,{133,137,140,141,144,146,147,148},FALSE)),)&gt;90000,BX16+IFERROR(SUM(VLOOKUP(B16,'[1]Mar1 Payroll'!$B$9:$FJ$68,{140,146},FALSE)),),IF(BT16+BX16+BZ16+CA16+CB16+DZ16+IFERROR(SUM(VLOOKUP(B16,'[1]Mar1 Payroll'!$B$9:$EK$68,{133,137,140,141,144,146,147,148},FALSE)),)&lt;90000,0,0)),0)</f>
        <v>0</v>
      </c>
      <c r="EL16" s="27">
        <f t="array" ref="EL16">IFERROR(IF(BT16+BX16+BZ16+CA16+CB16+DZ16+IFERROR(SUM(VLOOKUP(B16,'[1]Mar1 Payroll'!$B$9:$FJ$68,{133,137,140,141,144,146,147,148},FALSE)),)&gt;90000,BZ16+CA16+CB16+IFERROR(SUM(VLOOKUP(B16,'[1]Mar1 Payroll'!$B$9:$FJ$68,{141,148},FALSE)),),IF(BT16+BX16+BZ16+CA16+CB16+DZ16+IFERROR(SUM(VLOOKUP(B16,'[1]Mar1 Payroll'!$B$9:$EK$68,{133,137,140,141,144,146,147,148},FALSE)),)&lt;90000,0,0)),0)</f>
        <v>0</v>
      </c>
      <c r="EM16" s="27">
        <f t="shared" si="56"/>
        <v>0</v>
      </c>
      <c r="EN16" s="27">
        <f t="shared" si="57"/>
        <v>0</v>
      </c>
      <c r="EO16" s="27">
        <f t="array" ref="EO16">IFERROR(IF(BT16+BX16+BZ16+CA16+CB16+DZ16+IFERROR(SUM(VLOOKUP(B16,'[1]Mar1 Payroll'!$B$9:$FJ$68,{133,137,140,141,144,146,147,148},FALSE)),)&gt;90000,0,IF(BT16+BX16+BZ16+CA16+CB16+DZ16+IFERROR(SUM(VLOOKUP(B16,'[1]Mar1 Payroll'!$B$9:$EK$68,{133,137,140,141,144,146,147,148},FALSE)),)&lt;90000,DZ16+IFERROR(SUM(VLOOKUP(B16,'[1]Mar1 Payroll'!$B$9:$FJ$68,{133,144},FALSE)),),)),)</f>
        <v>214.5</v>
      </c>
      <c r="EP16" s="27">
        <f>IFERROR(BY16+IFERROR(VLOOKUP(B16,'[1]Mar1 Payroll'!$B$9:$FJ$68,145,FALSE),),0)</f>
        <v>0</v>
      </c>
      <c r="EQ16" s="27">
        <f t="array" ref="EQ16">IFERROR(IF(BT16+BX16+BZ16+CA16+CB16+DZ16+IFERROR(SUM(VLOOKUP(B16,'[1]Mar1 Payroll'!$B$9:$FJ$68,{133,137,140,141,144,146,147,148},FALSE)),)&gt;90000,0,IF(BT16+BX16+BZ16+CA16+CB16+DZ16+IFERROR(SUM(VLOOKUP(B16,'[1]Mar1 Payroll'!$B$9:$EK$68,{133,137,140,141,144,146,147,148},FALSE)),)&lt;90000,BX16+IFERROR(SUM(VLOOKUP(B16,'[1]Mar1 Payroll'!$B$9:$FJ$68,{140,146},FALSE)),))),0)</f>
        <v>0</v>
      </c>
      <c r="ER16" s="27">
        <f t="array" ref="ER16">IFERROR(IF(BT16+BX16+BZ16+CA16+CB16+DZ16+IFERROR(SUM(VLOOKUP(B16,'[1]Mar1 Payroll'!$B$9:$FJ$68,{133,137,140,141,144,146,147,148},FALSE)),)&gt;90000,0,IF(BT16+BX16+BZ16+CA16+CB16+DZ16+IFERROR(SUM(VLOOKUP(B16,'[1]Mar1 Payroll'!$B$9:$EK$68,{133,137,140,141,144,146,147,148},FALSE)),)&lt;90000,BT16+IFERROR(SUM(VLOOKUP(B16,'[1]Mar1 Payroll'!$B$9:$FJ$68,{137,147},FALSE)),))),0)</f>
        <v>0</v>
      </c>
      <c r="ES16" s="27">
        <f t="array" ref="ES16">IFERROR(IF(BT16+BX16+BZ16+CA16+CB16+DZ16+IFERROR(SUM(VLOOKUP(B16,'[1]Mar1 Payroll'!$B$9:$FJ$68,{133,137,140,141,144,146,147,148},FALSE)),)&gt;90000,0,IF(BT16+BX16+BZ16+CA16+CB16+DZ16+IFERROR(SUM(VLOOKUP(B16,'[1]Mar1 Payroll'!$B$9:$EK$68,{133,137,140,141,144,146,147,148},FALSE)),)&lt;90000,BZ16+CA16+CB16+IFERROR(SUM(VLOOKUP(B16,'[1]Mar1 Payroll'!$B$9:$FJ$68,{141,148},FALSE)),))),0)</f>
        <v>0</v>
      </c>
      <c r="ET16" s="27">
        <f t="shared" si="58"/>
        <v>0</v>
      </c>
      <c r="EU16" s="27">
        <f t="shared" si="59"/>
        <v>5148</v>
      </c>
      <c r="EV16" s="27">
        <f>IFERROR(DV16+DW16+DX16+IFERROR(VLOOKUP(B16,'[1]Mar1 Payroll'!$B$9:$FJ$68,151,FALSE),),0)</f>
        <v>0</v>
      </c>
      <c r="EW16" s="27">
        <f>IFERROR(CS16+IFERROR(VLOOKUP(B16,'[1]Mar1 Payroll'!$B$9:$FJ$68,152,FALSE),),0)</f>
        <v>0</v>
      </c>
      <c r="EX16" s="27">
        <f>IFERROR(CU16+CV16+IFERROR(VLOOKUP(B16,'[1]Mar1 Payroll'!$B$9:$FJ$68,153,FALSE),),0)</f>
        <v>0</v>
      </c>
      <c r="EY16" s="27">
        <f>IFERROR(CW16+CX16+IFERROR(VLOOKUP(B16,'[1]Mar1 Payroll'!$B$9:$FJ$68,154,FALSE),),0)</f>
        <v>0</v>
      </c>
      <c r="EZ16" s="27">
        <f>IFERROR(CJ16+IFERROR(VLOOKUP(B16,'[1]Mar1 Payroll'!$B$9:$FJ$68,155,FALSE),),0)</f>
        <v>0</v>
      </c>
      <c r="FA16" s="27">
        <f>IFERROR(DP16+DQ16+DR16+IFERROR(VLOOKUP(B16,'[1]Mar1 Payroll'!$B$9:$FJ$68,156,FALSE),),0)</f>
        <v>0</v>
      </c>
      <c r="FB16" s="27">
        <f>IFERROR(CZ16+IFERROR(VLOOKUP(B16,'[1]Mar1 Payroll'!$B$9:$FJ$68,157,FALSE),),0)</f>
        <v>0</v>
      </c>
      <c r="FC16" s="27">
        <f>IFERROR(DA16+IFERROR(VLOOKUP(B16,'[1]Mar1 Payroll'!$B$9:$FJ$68,158,FALSE),),0)</f>
        <v>0</v>
      </c>
      <c r="FD16" s="27">
        <f>IFERROR(DB16+IFERROR(VLOOKUP(B16,'[1]Mar1 Payroll'!$B$9:$FJ$68,159,FALSE),),0)</f>
        <v>0</v>
      </c>
      <c r="FE16" s="27">
        <f>IFERROR(DD16+IFERROR(VLOOKUP(B16,'[1]Mar1 Payroll'!$B$9:$FJ$68,160,FALSE),),0)</f>
        <v>0</v>
      </c>
      <c r="FF16" s="27">
        <f>IFERROR(DE16+IFERROR(VLOOKUP(B16,'[1]Mar1 Payroll'!$B$9:$FJ$68,161,FALSE),),0)</f>
        <v>0</v>
      </c>
      <c r="FG16" s="27">
        <f>IFERROR(DF16+IFERROR(VLOOKUP(B16,'[1]Mar1 Payroll'!$B$9:$FJ$68,162,FALSE),),0)</f>
        <v>0</v>
      </c>
      <c r="FH16" s="27">
        <f>IFERROR(DG16+IFERROR(VLOOKUP(B16,'[1]Mar1 Payroll'!$B$9:$FJ$68,163,FALSE),),0)</f>
        <v>0</v>
      </c>
      <c r="FI16" s="27">
        <f t="shared" si="60"/>
        <v>0</v>
      </c>
      <c r="FJ16" s="28">
        <f t="shared" si="61"/>
        <v>5148</v>
      </c>
      <c r="FK16" s="5"/>
      <c r="FM16" s="29">
        <f t="shared" si="62"/>
        <v>5148</v>
      </c>
      <c r="FN16" s="30">
        <f t="shared" si="28"/>
        <v>0</v>
      </c>
      <c r="FO16" s="30">
        <f t="shared" si="63"/>
        <v>0</v>
      </c>
      <c r="FP16" s="30">
        <f t="shared" si="28"/>
        <v>0</v>
      </c>
      <c r="FQ16" s="30">
        <f t="shared" si="28"/>
        <v>0</v>
      </c>
      <c r="FR16" s="30">
        <f t="shared" si="28"/>
        <v>0</v>
      </c>
      <c r="FS16" s="30">
        <f t="shared" si="64"/>
        <v>0</v>
      </c>
      <c r="FT16" s="30">
        <f t="shared" si="28"/>
        <v>0</v>
      </c>
      <c r="FU16" s="30">
        <f t="shared" si="28"/>
        <v>0</v>
      </c>
      <c r="FV16" s="30">
        <f t="shared" si="65"/>
        <v>0</v>
      </c>
      <c r="FW16" s="30">
        <f t="shared" si="66"/>
        <v>0</v>
      </c>
      <c r="FX16" s="30">
        <f t="shared" si="67"/>
        <v>0</v>
      </c>
      <c r="FY16" s="30">
        <f t="shared" si="68"/>
        <v>0</v>
      </c>
      <c r="FZ16" s="30">
        <f t="shared" si="69"/>
        <v>214.5</v>
      </c>
      <c r="GA16" s="30">
        <f t="shared" si="28"/>
        <v>0</v>
      </c>
      <c r="GB16" s="30">
        <f t="shared" si="70"/>
        <v>0</v>
      </c>
      <c r="GC16" s="30">
        <f t="shared" si="71"/>
        <v>0</v>
      </c>
      <c r="GD16" s="30">
        <f t="shared" si="72"/>
        <v>0</v>
      </c>
      <c r="GE16" s="30">
        <f t="shared" si="73"/>
        <v>0</v>
      </c>
      <c r="GF16" s="30">
        <f t="shared" si="74"/>
        <v>5148</v>
      </c>
      <c r="GG16" s="30">
        <f t="shared" si="29"/>
        <v>0</v>
      </c>
      <c r="GH16" s="30">
        <f t="shared" si="29"/>
        <v>0</v>
      </c>
      <c r="GI16" s="30">
        <f t="shared" si="29"/>
        <v>0</v>
      </c>
      <c r="GJ16" s="30">
        <f t="shared" si="29"/>
        <v>0</v>
      </c>
      <c r="GK16" s="30">
        <f t="shared" si="29"/>
        <v>0</v>
      </c>
      <c r="GL16" s="30">
        <f t="shared" si="29"/>
        <v>0</v>
      </c>
      <c r="GM16" s="30">
        <f t="shared" si="29"/>
        <v>0</v>
      </c>
      <c r="GN16" s="30">
        <f t="shared" si="29"/>
        <v>0</v>
      </c>
      <c r="GO16" s="30">
        <f t="shared" si="29"/>
        <v>0</v>
      </c>
      <c r="GP16" s="30">
        <f t="shared" si="29"/>
        <v>0</v>
      </c>
      <c r="GQ16" s="30">
        <f t="shared" si="29"/>
        <v>0</v>
      </c>
      <c r="GR16" s="30">
        <f t="shared" si="29"/>
        <v>0</v>
      </c>
      <c r="GS16" s="30">
        <f t="shared" si="29"/>
        <v>0</v>
      </c>
      <c r="GT16" s="30">
        <f t="shared" si="75"/>
        <v>0</v>
      </c>
      <c r="GU16" s="31">
        <f t="shared" si="76"/>
        <v>5148</v>
      </c>
    </row>
    <row r="17" spans="1:205" s="3" customFormat="1" ht="15.75" customHeight="1" thickBot="1" x14ac:dyDescent="0.3">
      <c r="A17" s="33">
        <f t="shared" si="30"/>
        <v>9</v>
      </c>
      <c r="B17" s="25" t="s">
        <v>156</v>
      </c>
      <c r="C17" s="37" t="s">
        <v>159</v>
      </c>
      <c r="D17" s="25"/>
      <c r="E17" s="37" t="s">
        <v>160</v>
      </c>
      <c r="F17" s="25"/>
      <c r="G17" s="25">
        <v>10296</v>
      </c>
      <c r="H17" s="22">
        <f t="shared" si="0"/>
        <v>5148</v>
      </c>
      <c r="I17" s="25"/>
      <c r="J17" s="22">
        <v>396</v>
      </c>
      <c r="K17" s="22">
        <f t="shared" si="31"/>
        <v>49.5</v>
      </c>
      <c r="L17" s="22">
        <f t="shared" si="32"/>
        <v>0.82499999999999996</v>
      </c>
      <c r="M17" s="22">
        <f t="shared" si="77"/>
        <v>5148</v>
      </c>
      <c r="N17" s="25"/>
      <c r="O17" s="22">
        <f t="shared" si="1"/>
        <v>0</v>
      </c>
      <c r="P17" s="25"/>
      <c r="Q17" s="22">
        <f t="shared" si="2"/>
        <v>0</v>
      </c>
      <c r="R17" s="25"/>
      <c r="S17" s="22">
        <f t="shared" si="3"/>
        <v>0</v>
      </c>
      <c r="T17" s="22">
        <f t="shared" si="34"/>
        <v>0</v>
      </c>
      <c r="U17" s="22">
        <f t="shared" si="35"/>
        <v>0</v>
      </c>
      <c r="V17" s="25"/>
      <c r="W17" s="22">
        <f t="shared" si="4"/>
        <v>0</v>
      </c>
      <c r="X17" s="25"/>
      <c r="Y17" s="22">
        <f t="shared" si="5"/>
        <v>0</v>
      </c>
      <c r="Z17" s="25"/>
      <c r="AA17" s="22">
        <f t="shared" si="6"/>
        <v>0</v>
      </c>
      <c r="AB17" s="25"/>
      <c r="AC17" s="22">
        <f t="shared" si="7"/>
        <v>0</v>
      </c>
      <c r="AD17" s="25"/>
      <c r="AE17" s="22">
        <f t="shared" si="8"/>
        <v>0</v>
      </c>
      <c r="AF17" s="25"/>
      <c r="AG17" s="22">
        <f t="shared" si="9"/>
        <v>0</v>
      </c>
      <c r="AH17" s="25"/>
      <c r="AI17" s="22">
        <f t="shared" si="10"/>
        <v>0</v>
      </c>
      <c r="AJ17" s="25"/>
      <c r="AK17" s="22">
        <f t="shared" si="11"/>
        <v>0</v>
      </c>
      <c r="AL17" s="22">
        <f t="shared" si="36"/>
        <v>0</v>
      </c>
      <c r="AM17" s="22">
        <f t="shared" si="36"/>
        <v>0</v>
      </c>
      <c r="AN17" s="25"/>
      <c r="AO17" s="22">
        <f t="shared" si="12"/>
        <v>0</v>
      </c>
      <c r="AP17" s="25"/>
      <c r="AQ17" s="22">
        <f t="shared" si="13"/>
        <v>0</v>
      </c>
      <c r="AR17" s="25"/>
      <c r="AS17" s="22">
        <f t="shared" si="14"/>
        <v>0</v>
      </c>
      <c r="AT17" s="25"/>
      <c r="AU17" s="22">
        <f t="shared" si="15"/>
        <v>0</v>
      </c>
      <c r="AV17" s="25"/>
      <c r="AW17" s="22">
        <f t="shared" si="16"/>
        <v>0</v>
      </c>
      <c r="AX17" s="25"/>
      <c r="AY17" s="22">
        <f t="shared" si="17"/>
        <v>0</v>
      </c>
      <c r="AZ17" s="25"/>
      <c r="BA17" s="22">
        <f t="shared" si="18"/>
        <v>0</v>
      </c>
      <c r="BB17" s="25"/>
      <c r="BC17" s="22">
        <f t="shared" si="19"/>
        <v>0</v>
      </c>
      <c r="BD17" s="25"/>
      <c r="BE17" s="22">
        <f t="shared" si="20"/>
        <v>0</v>
      </c>
      <c r="BF17" s="22">
        <f t="shared" si="37"/>
        <v>0</v>
      </c>
      <c r="BG17" s="22">
        <f t="shared" si="37"/>
        <v>0</v>
      </c>
      <c r="BH17" s="25"/>
      <c r="BI17" s="21">
        <f>IFERROR(VLOOKUP(B17,'[1]Mar1 Payroll'!$B$9:$FJ$68,66,FALSE),)</f>
        <v>0</v>
      </c>
      <c r="BJ17" s="21">
        <f>IFERROR(VLOOKUP(B17,'[1]Mar1 Payroll'!$B$9:$FJ$68,67,FALSE),)</f>
        <v>0</v>
      </c>
      <c r="BK17" s="25"/>
      <c r="BL17" s="25"/>
      <c r="BM17" s="25"/>
      <c r="BN17" s="25"/>
      <c r="BO17" s="21">
        <f t="shared" si="38"/>
        <v>0</v>
      </c>
      <c r="BP17" s="21">
        <f t="shared" si="38"/>
        <v>0</v>
      </c>
      <c r="BQ17" s="21">
        <f t="shared" si="39"/>
        <v>0</v>
      </c>
      <c r="BR17" s="21">
        <f t="shared" si="40"/>
        <v>0</v>
      </c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2">
        <f t="shared" si="41"/>
        <v>5148</v>
      </c>
      <c r="CD17" s="25"/>
      <c r="CE17" s="22">
        <f t="shared" si="21"/>
        <v>0</v>
      </c>
      <c r="CF17" s="34"/>
      <c r="CG17" s="21">
        <f t="shared" si="42"/>
        <v>0</v>
      </c>
      <c r="CH17" s="25"/>
      <c r="CI17" s="22">
        <f t="shared" si="22"/>
        <v>0</v>
      </c>
      <c r="CJ17" s="22">
        <f t="shared" si="43"/>
        <v>0</v>
      </c>
      <c r="CK17" s="35" t="str">
        <f>_xlfn.IFNA(VLOOKUP(B17,'[1]201'!$E$7:$H$66,2,FALSE),"")</f>
        <v/>
      </c>
      <c r="CL17" s="35" t="str">
        <f>_xlfn.IFNA(VLOOKUP(B17,'[1]201'!$E$7:$H$66,3,FALSE),"")</f>
        <v/>
      </c>
      <c r="CM17" s="35" t="str">
        <f>_xlfn.IFNA(VLOOKUP(B17,'[1]201'!$E$7:$H$66,4,FALSE),"")</f>
        <v/>
      </c>
      <c r="CN17" s="22">
        <f>_xlfn.IFNA(IF(CK17=0,0,IF($CN$8=1,-VLOOKUP(G17,[1]!SSSW[#Data],7,TRUE),0)),0)</f>
        <v>0</v>
      </c>
      <c r="CO17" s="22">
        <f>_xlfn.IFNA(IF(CK17=0,0,IF($CO$8=1,-VLOOKUP(M17,[1]!SSSW[#Data],7,TRUE),0)),0)</f>
        <v>0</v>
      </c>
      <c r="CP17" s="22">
        <f>_xlfn.IFNA(IF(CK17=0,0,IF($CP$8=1,-VLOOKUP(CC17+IFERROR(VLOOKUP(B17,'[1]Mar1 Payroll'!$B$9:$FJ$68,80,FALSE),),[1]!SSSW[#Data],7,TRUE),0)),0)</f>
        <v>0</v>
      </c>
      <c r="CQ17" s="22">
        <f>_xlfn.IFNA(IF(CK17=0,0,IF($CQ$8=1,-VLOOKUP(CC17,[1]!SSSW[#Data],7,TRUE),0)),0)</f>
        <v>0</v>
      </c>
      <c r="CR17" s="22">
        <f>IFERROR(IF(CQ17&lt;0,-VLOOKUP(CC17+IFERROR(VLOOKUP(B17,'[1]Mar1 Payroll'!$B$9:$FJ$68,80,FALSE),),[1]!SSSW[#Data],13,TRUE),IF(CP17&lt;0,-VLOOKUP(CC17+IFERROR(VLOOKUP(B17,'[1]Mar1 Payroll'!$B$9:$FJ$68,80,FALSE),),[1]!SSSW[#Data],13,TRUE),IF(CO17&lt;0,-VLOOKUP(G17,[1]!SSSW[#Data],13,TRUE),IF(CN17&lt;0,-VLOOKUP(G17,[1]!SSSW[#Data],13,TRUE),)))),)</f>
        <v>0</v>
      </c>
      <c r="CS17" s="22">
        <f t="shared" si="44"/>
        <v>0</v>
      </c>
      <c r="CT17" s="22">
        <f>IFERROR(IF(CN17&lt;0,-VLOOKUP(G17,[1]!SSSW[#Data],15,TRUE),IF(CQ17&lt;0,(-VLOOKUP(CC17,[1]!SSSW[#Data],15,TRUE)),IF(CP17&lt;0,-VLOOKUP(CC17+IFERROR(VLOOKUP(B17,'[1]Mar1 Payroll'!$B$9:$FJ$68,80,FALSE),),[1]!SSSW[#Data],15,TRUE),IF(CO17&lt;0,(-VLOOKUP(M17,[1]!SSSW[#Data],15,TRUE)),)))),)</f>
        <v>0</v>
      </c>
      <c r="CU17" s="22">
        <f t="shared" si="45"/>
        <v>0</v>
      </c>
      <c r="CV17" s="22">
        <f t="shared" si="46"/>
        <v>0</v>
      </c>
      <c r="CW17" s="22">
        <f t="shared" si="23"/>
        <v>0</v>
      </c>
      <c r="CX17" s="22">
        <f t="shared" si="24"/>
        <v>0</v>
      </c>
      <c r="CY17" s="22">
        <f t="shared" si="47"/>
        <v>0</v>
      </c>
      <c r="CZ17" s="25"/>
      <c r="DA17" s="25"/>
      <c r="DB17" s="25"/>
      <c r="DC17" s="22">
        <f t="shared" si="48"/>
        <v>0</v>
      </c>
      <c r="DD17" s="25"/>
      <c r="DE17" s="25"/>
      <c r="DF17" s="25"/>
      <c r="DG17" s="25"/>
      <c r="DH17" s="22">
        <f t="shared" si="49"/>
        <v>0</v>
      </c>
      <c r="DI17" s="34"/>
      <c r="DJ17" s="34"/>
      <c r="DK17" s="34"/>
      <c r="DL17" s="34"/>
      <c r="DM17" s="34"/>
      <c r="DN17" s="34"/>
      <c r="DO17" s="21">
        <f t="shared" si="50"/>
        <v>0</v>
      </c>
      <c r="DP17" s="34"/>
      <c r="DQ17" s="34"/>
      <c r="DR17" s="25"/>
      <c r="DS17" s="22">
        <f t="shared" si="51"/>
        <v>0</v>
      </c>
      <c r="DT17" s="22">
        <f t="shared" si="25"/>
        <v>5148</v>
      </c>
      <c r="DU17" s="22">
        <f t="shared" si="52"/>
        <v>5148</v>
      </c>
      <c r="DV17" s="25">
        <f t="shared" si="26"/>
        <v>0</v>
      </c>
      <c r="DW17" s="22">
        <f t="shared" si="53"/>
        <v>0</v>
      </c>
      <c r="DX17" s="25">
        <f t="shared" si="54"/>
        <v>0</v>
      </c>
      <c r="DY17" s="22">
        <f t="shared" si="55"/>
        <v>5148</v>
      </c>
      <c r="DZ17" s="26">
        <f t="shared" si="27"/>
        <v>214.5</v>
      </c>
      <c r="EA17"/>
      <c r="EB17" s="27">
        <f>IFERROR(M17+IFERROR(VLOOKUP(B17,'[1]Mar1 Payroll'!$B$9:$FJ$68,131,FALSE),),0)</f>
        <v>5148</v>
      </c>
      <c r="EC17" s="27">
        <f>IFERROR(O17+U17+AM17+BG17+BH17+IFERROR(VLOOKUP(B17,'[1]Mar1 Payroll'!$B$9:$FJ$68,132,FALSE),),)</f>
        <v>0</v>
      </c>
      <c r="ED17" s="27">
        <f t="array" ref="ED17">IFERROR(IF(BT17+BX17+BZ17+CA17+CB17+DZ17+IFERROR(SUM(VLOOKUP(B17,'[1]Mar1 Payroll'!$B$9:$FJ$68,{133,137,140,141,144,146,147,148},FALSE)),)&gt;90000,DZ17+IFERROR(SUM(VLOOKUP(B17,'[1]Mar1 Payroll'!$B$9:$FJ$68,{133,144},FALSE)),),IF(BT17+BX17+BZ17+CA17+CB17+DZ17+IFERROR(SUM(VLOOKUP(B17,'[1]Mar1 Payroll'!$B$9:$EK$68,{133,137,140,141,144,146,147,148},FALSE)),)&lt;90000,0,0)),0)</f>
        <v>0</v>
      </c>
      <c r="EE17" s="27">
        <f>IFERROR(BS17+IFERROR(VLOOKUP(B17,'[1]Mar1 Payroll'!$B$9:$FJ$68,134,FALSE),),0)</f>
        <v>0</v>
      </c>
      <c r="EF17" s="27">
        <f>IFERROR(BQ17+IFERROR(VLOOKUP(B17,'[1]Mar1 Payroll'!$B$9:$FJ$68,135,FALSE),),0)</f>
        <v>0</v>
      </c>
      <c r="EG17" s="27">
        <f>IFERROR(BR17+IFERROR(VLOOKUP(B17,'[1]Mar1 Payroll'!$B$9:$FJ$68,136,FALSE),),0)</f>
        <v>0</v>
      </c>
      <c r="EH17" s="27">
        <f t="array" ref="EH17">IFERROR(IF(BT17+BX17+BZ17+CA17+CB17+DZ17+IFERROR(SUM(VLOOKUP(B17,'[1]Mar1 Payroll'!$B$9:$FJ$68,{133,137,140,141,144,146,147,148},FALSE)),)&gt;90000,BT17+IFERROR(SUM(VLOOKUP(B17,'[1]Mar1 Payroll'!$B$9:$FJ$68,{137,147},FALSE)),),IF(BT17+BX17+BZ17+CA17+CB17+DZ17+IFERROR(SUM(VLOOKUP(B17,'[1]Mar1 Payroll'!$B$9:$EK$68,{133,137,140,141,144,146,147,148},FALSE)),)&lt;90000,0,0)),0)</f>
        <v>0</v>
      </c>
      <c r="EI17" s="27">
        <f>IFERROR(BU17+IFERROR(VLOOKUP(B17,'[1]Mar1 Payroll'!$B$9:$FJ$68,138,FALSE),),0)</f>
        <v>0</v>
      </c>
      <c r="EJ17" s="27">
        <f>IFERROR(BV17+IFERROR(VLOOKUP(B17,'[1]Mar1 Payroll'!$B$9:$FJ$68,139,FALSE),),0)</f>
        <v>0</v>
      </c>
      <c r="EK17" s="27">
        <f t="array" ref="EK17">IFERROR(IF(BT17+BX17+BZ17+CA17+CB17+DZ17+IFERROR(SUM(VLOOKUP(B17,'[1]Mar1 Payroll'!$B$9:$FJ$68,{133,137,140,141,144,146,147,148},FALSE)),)&gt;90000,BX17+IFERROR(SUM(VLOOKUP(B17,'[1]Mar1 Payroll'!$B$9:$FJ$68,{140,146},FALSE)),),IF(BT17+BX17+BZ17+CA17+CB17+DZ17+IFERROR(SUM(VLOOKUP(B17,'[1]Mar1 Payroll'!$B$9:$EK$68,{133,137,140,141,144,146,147,148},FALSE)),)&lt;90000,0,0)),0)</f>
        <v>0</v>
      </c>
      <c r="EL17" s="27">
        <f t="array" ref="EL17">IFERROR(IF(BT17+BX17+BZ17+CA17+CB17+DZ17+IFERROR(SUM(VLOOKUP(B17,'[1]Mar1 Payroll'!$B$9:$FJ$68,{133,137,140,141,144,146,147,148},FALSE)),)&gt;90000,BZ17+CA17+CB17+IFERROR(SUM(VLOOKUP(B17,'[1]Mar1 Payroll'!$B$9:$FJ$68,{141,148},FALSE)),),IF(BT17+BX17+BZ17+CA17+CB17+DZ17+IFERROR(SUM(VLOOKUP(B17,'[1]Mar1 Payroll'!$B$9:$EK$68,{133,137,140,141,144,146,147,148},FALSE)),)&lt;90000,0,0)),0)</f>
        <v>0</v>
      </c>
      <c r="EM17" s="27">
        <f t="shared" si="56"/>
        <v>0</v>
      </c>
      <c r="EN17" s="27">
        <f t="shared" si="57"/>
        <v>0</v>
      </c>
      <c r="EO17" s="27">
        <f t="array" ref="EO17">IFERROR(IF(BT17+BX17+BZ17+CA17+CB17+DZ17+IFERROR(SUM(VLOOKUP(B17,'[1]Mar1 Payroll'!$B$9:$FJ$68,{133,137,140,141,144,146,147,148},FALSE)),)&gt;90000,0,IF(BT17+BX17+BZ17+CA17+CB17+DZ17+IFERROR(SUM(VLOOKUP(B17,'[1]Mar1 Payroll'!$B$9:$EK$68,{133,137,140,141,144,146,147,148},FALSE)),)&lt;90000,DZ17+IFERROR(SUM(VLOOKUP(B17,'[1]Mar1 Payroll'!$B$9:$FJ$68,{133,144},FALSE)),),)),)</f>
        <v>214.5</v>
      </c>
      <c r="EP17" s="27">
        <f>IFERROR(BY17+IFERROR(VLOOKUP(B17,'[1]Mar1 Payroll'!$B$9:$FJ$68,145,FALSE),),0)</f>
        <v>0</v>
      </c>
      <c r="EQ17" s="27">
        <f t="array" ref="EQ17">IFERROR(IF(BT17+BX17+BZ17+CA17+CB17+DZ17+IFERROR(SUM(VLOOKUP(B17,'[1]Mar1 Payroll'!$B$9:$FJ$68,{133,137,140,141,144,146,147,148},FALSE)),)&gt;90000,0,IF(BT17+BX17+BZ17+CA17+CB17+DZ17+IFERROR(SUM(VLOOKUP(B17,'[1]Mar1 Payroll'!$B$9:$EK$68,{133,137,140,141,144,146,147,148},FALSE)),)&lt;90000,BX17+IFERROR(SUM(VLOOKUP(B17,'[1]Mar1 Payroll'!$B$9:$FJ$68,{140,146},FALSE)),))),0)</f>
        <v>0</v>
      </c>
      <c r="ER17" s="27">
        <f t="array" ref="ER17">IFERROR(IF(BT17+BX17+BZ17+CA17+CB17+DZ17+IFERROR(SUM(VLOOKUP(B17,'[1]Mar1 Payroll'!$B$9:$FJ$68,{133,137,140,141,144,146,147,148},FALSE)),)&gt;90000,0,IF(BT17+BX17+BZ17+CA17+CB17+DZ17+IFERROR(SUM(VLOOKUP(B17,'[1]Mar1 Payroll'!$B$9:$EK$68,{133,137,140,141,144,146,147,148},FALSE)),)&lt;90000,BT17+IFERROR(SUM(VLOOKUP(B17,'[1]Mar1 Payroll'!$B$9:$FJ$68,{137,147},FALSE)),))),0)</f>
        <v>0</v>
      </c>
      <c r="ES17" s="27">
        <f t="array" ref="ES17">IFERROR(IF(BT17+BX17+BZ17+CA17+CB17+DZ17+IFERROR(SUM(VLOOKUP(B17,'[1]Mar1 Payroll'!$B$9:$FJ$68,{133,137,140,141,144,146,147,148},FALSE)),)&gt;90000,0,IF(BT17+BX17+BZ17+CA17+CB17+DZ17+IFERROR(SUM(VLOOKUP(B17,'[1]Mar1 Payroll'!$B$9:$EK$68,{133,137,140,141,144,146,147,148},FALSE)),)&lt;90000,BZ17+CA17+CB17+IFERROR(SUM(VLOOKUP(B17,'[1]Mar1 Payroll'!$B$9:$FJ$68,{141,148},FALSE)),))),0)</f>
        <v>0</v>
      </c>
      <c r="ET17" s="27">
        <f t="shared" si="58"/>
        <v>0</v>
      </c>
      <c r="EU17" s="27">
        <f t="shared" si="59"/>
        <v>5148</v>
      </c>
      <c r="EV17" s="27">
        <f>IFERROR(DV17+DW17+DX17+IFERROR(VLOOKUP(B17,'[1]Mar1 Payroll'!$B$9:$FJ$68,151,FALSE),),0)</f>
        <v>0</v>
      </c>
      <c r="EW17" s="27">
        <f>IFERROR(CS17+IFERROR(VLOOKUP(B17,'[1]Mar1 Payroll'!$B$9:$FJ$68,152,FALSE),),0)</f>
        <v>0</v>
      </c>
      <c r="EX17" s="27">
        <f>IFERROR(CU17+CV17+IFERROR(VLOOKUP(B17,'[1]Mar1 Payroll'!$B$9:$FJ$68,153,FALSE),),0)</f>
        <v>0</v>
      </c>
      <c r="EY17" s="27">
        <f>IFERROR(CW17+CX17+IFERROR(VLOOKUP(B17,'[1]Mar1 Payroll'!$B$9:$FJ$68,154,FALSE),),0)</f>
        <v>0</v>
      </c>
      <c r="EZ17" s="27">
        <f>IFERROR(CJ17+IFERROR(VLOOKUP(B17,'[1]Mar1 Payroll'!$B$9:$FJ$68,155,FALSE),),0)</f>
        <v>0</v>
      </c>
      <c r="FA17" s="27">
        <f>IFERROR(DP17+DQ17+DR17+IFERROR(VLOOKUP(B17,'[1]Mar1 Payroll'!$B$9:$FJ$68,156,FALSE),),0)</f>
        <v>0</v>
      </c>
      <c r="FB17" s="27">
        <f>IFERROR(CZ17+IFERROR(VLOOKUP(B17,'[1]Mar1 Payroll'!$B$9:$FJ$68,157,FALSE),),0)</f>
        <v>0</v>
      </c>
      <c r="FC17" s="27">
        <f>IFERROR(DA17+IFERROR(VLOOKUP(B17,'[1]Mar1 Payroll'!$B$9:$FJ$68,158,FALSE),),0)</f>
        <v>0</v>
      </c>
      <c r="FD17" s="27">
        <f>IFERROR(DB17+IFERROR(VLOOKUP(B17,'[1]Mar1 Payroll'!$B$9:$FJ$68,159,FALSE),),0)</f>
        <v>0</v>
      </c>
      <c r="FE17" s="27">
        <f>IFERROR(DD17+IFERROR(VLOOKUP(B17,'[1]Mar1 Payroll'!$B$9:$FJ$68,160,FALSE),),0)</f>
        <v>0</v>
      </c>
      <c r="FF17" s="27">
        <f>IFERROR(DE17+IFERROR(VLOOKUP(B17,'[1]Mar1 Payroll'!$B$9:$FJ$68,161,FALSE),),0)</f>
        <v>0</v>
      </c>
      <c r="FG17" s="27">
        <f>IFERROR(DF17+IFERROR(VLOOKUP(B17,'[1]Mar1 Payroll'!$B$9:$FJ$68,162,FALSE),),0)</f>
        <v>0</v>
      </c>
      <c r="FH17" s="27">
        <f>IFERROR(DG17+IFERROR(VLOOKUP(B17,'[1]Mar1 Payroll'!$B$9:$FJ$68,163,FALSE),),0)</f>
        <v>0</v>
      </c>
      <c r="FI17" s="27">
        <f t="shared" si="60"/>
        <v>0</v>
      </c>
      <c r="FJ17" s="28">
        <f t="shared" si="61"/>
        <v>5148</v>
      </c>
      <c r="FK17" s="5"/>
      <c r="FM17" s="29">
        <f t="shared" si="62"/>
        <v>5148</v>
      </c>
      <c r="FN17" s="30">
        <f t="shared" si="28"/>
        <v>0</v>
      </c>
      <c r="FO17" s="30">
        <f t="shared" si="63"/>
        <v>0</v>
      </c>
      <c r="FP17" s="30">
        <f t="shared" si="28"/>
        <v>0</v>
      </c>
      <c r="FQ17" s="30">
        <f t="shared" si="28"/>
        <v>0</v>
      </c>
      <c r="FR17" s="30">
        <f t="shared" si="28"/>
        <v>0</v>
      </c>
      <c r="FS17" s="30">
        <f t="shared" si="64"/>
        <v>0</v>
      </c>
      <c r="FT17" s="30">
        <f t="shared" si="28"/>
        <v>0</v>
      </c>
      <c r="FU17" s="30">
        <f t="shared" si="28"/>
        <v>0</v>
      </c>
      <c r="FV17" s="30">
        <f t="shared" si="65"/>
        <v>0</v>
      </c>
      <c r="FW17" s="30">
        <f t="shared" si="66"/>
        <v>0</v>
      </c>
      <c r="FX17" s="30">
        <f t="shared" si="67"/>
        <v>0</v>
      </c>
      <c r="FY17" s="30">
        <f t="shared" si="68"/>
        <v>0</v>
      </c>
      <c r="FZ17" s="30">
        <f t="shared" si="69"/>
        <v>214.5</v>
      </c>
      <c r="GA17" s="30">
        <f t="shared" si="28"/>
        <v>0</v>
      </c>
      <c r="GB17" s="30">
        <f t="shared" si="70"/>
        <v>0</v>
      </c>
      <c r="GC17" s="30">
        <f t="shared" si="71"/>
        <v>0</v>
      </c>
      <c r="GD17" s="30">
        <f t="shared" si="72"/>
        <v>0</v>
      </c>
      <c r="GE17" s="30">
        <f t="shared" si="73"/>
        <v>0</v>
      </c>
      <c r="GF17" s="30">
        <f t="shared" si="74"/>
        <v>5148</v>
      </c>
      <c r="GG17" s="30">
        <f t="shared" si="29"/>
        <v>0</v>
      </c>
      <c r="GH17" s="30">
        <f t="shared" si="29"/>
        <v>0</v>
      </c>
      <c r="GI17" s="30">
        <f t="shared" si="29"/>
        <v>0</v>
      </c>
      <c r="GJ17" s="30">
        <f t="shared" si="29"/>
        <v>0</v>
      </c>
      <c r="GK17" s="30">
        <f t="shared" si="29"/>
        <v>0</v>
      </c>
      <c r="GL17" s="30">
        <f t="shared" si="29"/>
        <v>0</v>
      </c>
      <c r="GM17" s="30">
        <f t="shared" si="29"/>
        <v>0</v>
      </c>
      <c r="GN17" s="30">
        <f t="shared" si="29"/>
        <v>0</v>
      </c>
      <c r="GO17" s="30">
        <f t="shared" si="29"/>
        <v>0</v>
      </c>
      <c r="GP17" s="30">
        <f t="shared" si="29"/>
        <v>0</v>
      </c>
      <c r="GQ17" s="30">
        <f t="shared" si="29"/>
        <v>0</v>
      </c>
      <c r="GR17" s="30">
        <f t="shared" si="29"/>
        <v>0</v>
      </c>
      <c r="GS17" s="30">
        <f t="shared" si="29"/>
        <v>0</v>
      </c>
      <c r="GT17" s="30">
        <f t="shared" si="75"/>
        <v>0</v>
      </c>
      <c r="GU17" s="31">
        <f t="shared" si="76"/>
        <v>5148</v>
      </c>
    </row>
    <row r="18" spans="1:205" s="3" customFormat="1" ht="15.75" customHeight="1" thickBot="1" x14ac:dyDescent="0.3">
      <c r="A18" s="33">
        <f t="shared" si="30"/>
        <v>10</v>
      </c>
      <c r="B18" s="25" t="s">
        <v>157</v>
      </c>
      <c r="C18" s="37" t="s">
        <v>159</v>
      </c>
      <c r="D18" s="25"/>
      <c r="E18" s="37" t="s">
        <v>160</v>
      </c>
      <c r="F18" s="25"/>
      <c r="G18" s="25">
        <v>10296</v>
      </c>
      <c r="H18" s="22">
        <f t="shared" si="0"/>
        <v>0</v>
      </c>
      <c r="I18" s="25">
        <v>9.5</v>
      </c>
      <c r="J18" s="22">
        <v>396</v>
      </c>
      <c r="K18" s="22">
        <f t="shared" si="31"/>
        <v>49.5</v>
      </c>
      <c r="L18" s="22">
        <f t="shared" si="32"/>
        <v>0.82499999999999996</v>
      </c>
      <c r="M18" s="22">
        <f t="shared" si="77"/>
        <v>3762</v>
      </c>
      <c r="N18" s="25"/>
      <c r="O18" s="22">
        <f t="shared" si="1"/>
        <v>0</v>
      </c>
      <c r="P18" s="25"/>
      <c r="Q18" s="22">
        <f t="shared" si="2"/>
        <v>0</v>
      </c>
      <c r="R18" s="25"/>
      <c r="S18" s="22">
        <f t="shared" si="3"/>
        <v>0</v>
      </c>
      <c r="T18" s="22">
        <f t="shared" si="34"/>
        <v>0</v>
      </c>
      <c r="U18" s="22">
        <f t="shared" si="35"/>
        <v>0</v>
      </c>
      <c r="V18" s="25"/>
      <c r="W18" s="22">
        <f t="shared" si="4"/>
        <v>0</v>
      </c>
      <c r="X18" s="25"/>
      <c r="Y18" s="22">
        <f t="shared" si="5"/>
        <v>0</v>
      </c>
      <c r="Z18" s="25"/>
      <c r="AA18" s="22">
        <f t="shared" si="6"/>
        <v>0</v>
      </c>
      <c r="AB18" s="25"/>
      <c r="AC18" s="22">
        <f t="shared" si="7"/>
        <v>0</v>
      </c>
      <c r="AD18" s="25">
        <v>16</v>
      </c>
      <c r="AE18" s="22">
        <f t="shared" si="8"/>
        <v>792</v>
      </c>
      <c r="AF18" s="25"/>
      <c r="AG18" s="22">
        <f t="shared" si="9"/>
        <v>0</v>
      </c>
      <c r="AH18" s="25"/>
      <c r="AI18" s="22">
        <f t="shared" si="10"/>
        <v>0</v>
      </c>
      <c r="AJ18" s="25"/>
      <c r="AK18" s="22">
        <f t="shared" si="11"/>
        <v>0</v>
      </c>
      <c r="AL18" s="22">
        <f t="shared" si="36"/>
        <v>16</v>
      </c>
      <c r="AM18" s="22">
        <f t="shared" si="36"/>
        <v>792</v>
      </c>
      <c r="AN18" s="25"/>
      <c r="AO18" s="22">
        <f t="shared" si="12"/>
        <v>0</v>
      </c>
      <c r="AP18" s="25"/>
      <c r="AQ18" s="22">
        <f t="shared" si="13"/>
        <v>0</v>
      </c>
      <c r="AR18" s="25"/>
      <c r="AS18" s="22">
        <f t="shared" si="14"/>
        <v>0</v>
      </c>
      <c r="AT18" s="25"/>
      <c r="AU18" s="22">
        <f t="shared" si="15"/>
        <v>0</v>
      </c>
      <c r="AV18" s="25"/>
      <c r="AW18" s="22">
        <f t="shared" si="16"/>
        <v>0</v>
      </c>
      <c r="AX18" s="25"/>
      <c r="AY18" s="22">
        <f t="shared" si="17"/>
        <v>0</v>
      </c>
      <c r="AZ18" s="25"/>
      <c r="BA18" s="22">
        <f t="shared" si="18"/>
        <v>0</v>
      </c>
      <c r="BB18" s="25"/>
      <c r="BC18" s="22">
        <f t="shared" si="19"/>
        <v>0</v>
      </c>
      <c r="BD18" s="25"/>
      <c r="BE18" s="22">
        <f t="shared" si="20"/>
        <v>0</v>
      </c>
      <c r="BF18" s="22">
        <f t="shared" si="37"/>
        <v>0</v>
      </c>
      <c r="BG18" s="22">
        <f t="shared" si="37"/>
        <v>0</v>
      </c>
      <c r="BH18" s="25"/>
      <c r="BI18" s="21">
        <f>IFERROR(VLOOKUP(B18,'[1]Mar1 Payroll'!$B$9:$FJ$68,66,FALSE),)</f>
        <v>0</v>
      </c>
      <c r="BJ18" s="21">
        <f>IFERROR(VLOOKUP(B18,'[1]Mar1 Payroll'!$B$9:$FJ$68,67,FALSE),)</f>
        <v>0</v>
      </c>
      <c r="BK18" s="25"/>
      <c r="BL18" s="25"/>
      <c r="BM18" s="25"/>
      <c r="BN18" s="25"/>
      <c r="BO18" s="21">
        <f t="shared" si="38"/>
        <v>0</v>
      </c>
      <c r="BP18" s="21">
        <f t="shared" si="38"/>
        <v>0</v>
      </c>
      <c r="BQ18" s="21">
        <f t="shared" si="39"/>
        <v>0</v>
      </c>
      <c r="BR18" s="21">
        <f t="shared" si="40"/>
        <v>0</v>
      </c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2">
        <f t="shared" si="41"/>
        <v>4554</v>
      </c>
      <c r="CD18" s="25"/>
      <c r="CE18" s="22">
        <f t="shared" si="21"/>
        <v>0</v>
      </c>
      <c r="CF18" s="34"/>
      <c r="CG18" s="21">
        <f t="shared" si="42"/>
        <v>0</v>
      </c>
      <c r="CH18" s="25"/>
      <c r="CI18" s="22">
        <f t="shared" si="22"/>
        <v>0</v>
      </c>
      <c r="CJ18" s="22">
        <f t="shared" si="43"/>
        <v>0</v>
      </c>
      <c r="CK18" s="35" t="str">
        <f>_xlfn.IFNA(VLOOKUP(B18,'[1]201'!$E$7:$H$66,2,FALSE),"")</f>
        <v/>
      </c>
      <c r="CL18" s="35" t="str">
        <f>_xlfn.IFNA(VLOOKUP(B18,'[1]201'!$E$7:$H$66,3,FALSE),"")</f>
        <v/>
      </c>
      <c r="CM18" s="35" t="str">
        <f>_xlfn.IFNA(VLOOKUP(B18,'[1]201'!$E$7:$H$66,4,FALSE),"")</f>
        <v/>
      </c>
      <c r="CN18" s="22">
        <f>_xlfn.IFNA(IF(CK18=0,0,IF($CN$8=1,-VLOOKUP(G18,[1]!SSSW[#Data],7,TRUE),0)),0)</f>
        <v>0</v>
      </c>
      <c r="CO18" s="22">
        <f>_xlfn.IFNA(IF(CK18=0,0,IF($CO$8=1,-VLOOKUP(M18,[1]!SSSW[#Data],7,TRUE),0)),0)</f>
        <v>0</v>
      </c>
      <c r="CP18" s="22">
        <f>_xlfn.IFNA(IF(CK18=0,0,IF($CP$8=1,-VLOOKUP(CC18+IFERROR(VLOOKUP(B18,'[1]Mar1 Payroll'!$B$9:$FJ$68,80,FALSE),),[1]!SSSW[#Data],7,TRUE),0)),0)</f>
        <v>0</v>
      </c>
      <c r="CQ18" s="22">
        <f>_xlfn.IFNA(IF(CK18=0,0,IF($CQ$8=1,-VLOOKUP(CC18,[1]!SSSW[#Data],7,TRUE),0)),0)</f>
        <v>0</v>
      </c>
      <c r="CR18" s="22">
        <f>IFERROR(IF(CQ18&lt;0,-VLOOKUP(CC18+IFERROR(VLOOKUP(B18,'[1]Mar1 Payroll'!$B$9:$FJ$68,80,FALSE),),[1]!SSSW[#Data],13,TRUE),IF(CP18&lt;0,-VLOOKUP(CC18+IFERROR(VLOOKUP(B18,'[1]Mar1 Payroll'!$B$9:$FJ$68,80,FALSE),),[1]!SSSW[#Data],13,TRUE),IF(CO18&lt;0,-VLOOKUP(G18,[1]!SSSW[#Data],13,TRUE),IF(CN18&lt;0,-VLOOKUP(G18,[1]!SSSW[#Data],13,TRUE),)))),)</f>
        <v>0</v>
      </c>
      <c r="CS18" s="22">
        <f t="shared" si="44"/>
        <v>0</v>
      </c>
      <c r="CT18" s="22">
        <f>IFERROR(IF(CN18&lt;0,-VLOOKUP(G18,[1]!SSSW[#Data],15,TRUE),IF(CQ18&lt;0,(-VLOOKUP(CC18,[1]!SSSW[#Data],15,TRUE)),IF(CP18&lt;0,-VLOOKUP(CC18+IFERROR(VLOOKUP(B18,'[1]Mar1 Payroll'!$B$9:$FJ$68,80,FALSE),),[1]!SSSW[#Data],15,TRUE),IF(CO18&lt;0,(-VLOOKUP(M18,[1]!SSSW[#Data],15,TRUE)),)))),)</f>
        <v>0</v>
      </c>
      <c r="CU18" s="22">
        <f t="shared" si="45"/>
        <v>0</v>
      </c>
      <c r="CV18" s="22">
        <f t="shared" si="46"/>
        <v>0</v>
      </c>
      <c r="CW18" s="22">
        <f t="shared" si="23"/>
        <v>0</v>
      </c>
      <c r="CX18" s="22">
        <f t="shared" si="24"/>
        <v>0</v>
      </c>
      <c r="CY18" s="22">
        <f t="shared" si="47"/>
        <v>0</v>
      </c>
      <c r="CZ18" s="25"/>
      <c r="DA18" s="25"/>
      <c r="DB18" s="25"/>
      <c r="DC18" s="22">
        <f t="shared" si="48"/>
        <v>0</v>
      </c>
      <c r="DD18" s="25"/>
      <c r="DE18" s="25"/>
      <c r="DF18" s="25"/>
      <c r="DG18" s="25"/>
      <c r="DH18" s="22">
        <f t="shared" si="49"/>
        <v>0</v>
      </c>
      <c r="DI18" s="34"/>
      <c r="DJ18" s="34"/>
      <c r="DK18" s="34"/>
      <c r="DL18" s="34"/>
      <c r="DM18" s="34"/>
      <c r="DN18" s="34"/>
      <c r="DO18" s="21">
        <f t="shared" si="50"/>
        <v>0</v>
      </c>
      <c r="DP18" s="34"/>
      <c r="DQ18" s="34"/>
      <c r="DR18" s="25"/>
      <c r="DS18" s="22">
        <f t="shared" si="51"/>
        <v>0</v>
      </c>
      <c r="DT18" s="22">
        <f t="shared" si="25"/>
        <v>4554</v>
      </c>
      <c r="DU18" s="22">
        <f t="shared" si="52"/>
        <v>4554</v>
      </c>
      <c r="DV18" s="25">
        <f t="shared" si="26"/>
        <v>0</v>
      </c>
      <c r="DW18" s="22">
        <f t="shared" si="53"/>
        <v>0</v>
      </c>
      <c r="DX18" s="25">
        <f t="shared" si="54"/>
        <v>0</v>
      </c>
      <c r="DY18" s="22">
        <f t="shared" si="55"/>
        <v>4554</v>
      </c>
      <c r="DZ18" s="26">
        <f t="shared" si="27"/>
        <v>189.75</v>
      </c>
      <c r="EA18"/>
      <c r="EB18" s="27">
        <f>IFERROR(M18+IFERROR(VLOOKUP(B18,'[1]Mar1 Payroll'!$B$9:$FJ$68,131,FALSE),),0)</f>
        <v>3762</v>
      </c>
      <c r="EC18" s="27">
        <f>IFERROR(O18+U18+AM18+BG18+BH18+IFERROR(VLOOKUP(B18,'[1]Mar1 Payroll'!$B$9:$FJ$68,132,FALSE),),)</f>
        <v>792</v>
      </c>
      <c r="ED18" s="27">
        <f t="array" ref="ED18">IFERROR(IF(BT18+BX18+BZ18+CA18+CB18+DZ18+IFERROR(SUM(VLOOKUP(B18,'[1]Mar1 Payroll'!$B$9:$FJ$68,{133,137,140,141,144,146,147,148},FALSE)),)&gt;90000,DZ18+IFERROR(SUM(VLOOKUP(B18,'[1]Mar1 Payroll'!$B$9:$FJ$68,{133,144},FALSE)),),IF(BT18+BX18+BZ18+CA18+CB18+DZ18+IFERROR(SUM(VLOOKUP(B18,'[1]Mar1 Payroll'!$B$9:$EK$68,{133,137,140,141,144,146,147,148},FALSE)),)&lt;90000,0,0)),0)</f>
        <v>0</v>
      </c>
      <c r="EE18" s="27">
        <f>IFERROR(BS18+IFERROR(VLOOKUP(B18,'[1]Mar1 Payroll'!$B$9:$FJ$68,134,FALSE),),0)</f>
        <v>0</v>
      </c>
      <c r="EF18" s="27">
        <f>IFERROR(BQ18+IFERROR(VLOOKUP(B18,'[1]Mar1 Payroll'!$B$9:$FJ$68,135,FALSE),),0)</f>
        <v>0</v>
      </c>
      <c r="EG18" s="27">
        <f>IFERROR(BR18+IFERROR(VLOOKUP(B18,'[1]Mar1 Payroll'!$B$9:$FJ$68,136,FALSE),),0)</f>
        <v>0</v>
      </c>
      <c r="EH18" s="27">
        <f t="array" ref="EH18">IFERROR(IF(BT18+BX18+BZ18+CA18+CB18+DZ18+IFERROR(SUM(VLOOKUP(B18,'[1]Mar1 Payroll'!$B$9:$FJ$68,{133,137,140,141,144,146,147,148},FALSE)),)&gt;90000,BT18+IFERROR(SUM(VLOOKUP(B18,'[1]Mar1 Payroll'!$B$9:$FJ$68,{137,147},FALSE)),),IF(BT18+BX18+BZ18+CA18+CB18+DZ18+IFERROR(SUM(VLOOKUP(B18,'[1]Mar1 Payroll'!$B$9:$EK$68,{133,137,140,141,144,146,147,148},FALSE)),)&lt;90000,0,0)),0)</f>
        <v>0</v>
      </c>
      <c r="EI18" s="27">
        <f>IFERROR(BU18+IFERROR(VLOOKUP(B18,'[1]Mar1 Payroll'!$B$9:$FJ$68,138,FALSE),),0)</f>
        <v>0</v>
      </c>
      <c r="EJ18" s="27">
        <f>IFERROR(BV18+IFERROR(VLOOKUP(B18,'[1]Mar1 Payroll'!$B$9:$FJ$68,139,FALSE),),0)</f>
        <v>0</v>
      </c>
      <c r="EK18" s="27">
        <f t="array" ref="EK18">IFERROR(IF(BT18+BX18+BZ18+CA18+CB18+DZ18+IFERROR(SUM(VLOOKUP(B18,'[1]Mar1 Payroll'!$B$9:$FJ$68,{133,137,140,141,144,146,147,148},FALSE)),)&gt;90000,BX18+IFERROR(SUM(VLOOKUP(B18,'[1]Mar1 Payroll'!$B$9:$FJ$68,{140,146},FALSE)),),IF(BT18+BX18+BZ18+CA18+CB18+DZ18+IFERROR(SUM(VLOOKUP(B18,'[1]Mar1 Payroll'!$B$9:$EK$68,{133,137,140,141,144,146,147,148},FALSE)),)&lt;90000,0,0)),0)</f>
        <v>0</v>
      </c>
      <c r="EL18" s="27">
        <f t="array" ref="EL18">IFERROR(IF(BT18+BX18+BZ18+CA18+CB18+DZ18+IFERROR(SUM(VLOOKUP(B18,'[1]Mar1 Payroll'!$B$9:$FJ$68,{133,137,140,141,144,146,147,148},FALSE)),)&gt;90000,BZ18+CA18+CB18+IFERROR(SUM(VLOOKUP(B18,'[1]Mar1 Payroll'!$B$9:$FJ$68,{141,148},FALSE)),),IF(BT18+BX18+BZ18+CA18+CB18+DZ18+IFERROR(SUM(VLOOKUP(B18,'[1]Mar1 Payroll'!$B$9:$EK$68,{133,137,140,141,144,146,147,148},FALSE)),)&lt;90000,0,0)),0)</f>
        <v>0</v>
      </c>
      <c r="EM18" s="27">
        <f t="shared" si="56"/>
        <v>0</v>
      </c>
      <c r="EN18" s="27">
        <f t="shared" si="57"/>
        <v>0</v>
      </c>
      <c r="EO18" s="27">
        <f t="array" ref="EO18">IFERROR(IF(BT18+BX18+BZ18+CA18+CB18+DZ18+IFERROR(SUM(VLOOKUP(B18,'[1]Mar1 Payroll'!$B$9:$FJ$68,{133,137,140,141,144,146,147,148},FALSE)),)&gt;90000,0,IF(BT18+BX18+BZ18+CA18+CB18+DZ18+IFERROR(SUM(VLOOKUP(B18,'[1]Mar1 Payroll'!$B$9:$EK$68,{133,137,140,141,144,146,147,148},FALSE)),)&lt;90000,DZ18+IFERROR(SUM(VLOOKUP(B18,'[1]Mar1 Payroll'!$B$9:$FJ$68,{133,144},FALSE)),),)),)</f>
        <v>189.75</v>
      </c>
      <c r="EP18" s="27">
        <f>IFERROR(BY18+IFERROR(VLOOKUP(B18,'[1]Mar1 Payroll'!$B$9:$FJ$68,145,FALSE),),0)</f>
        <v>0</v>
      </c>
      <c r="EQ18" s="27">
        <f t="array" ref="EQ18">IFERROR(IF(BT18+BX18+BZ18+CA18+CB18+DZ18+IFERROR(SUM(VLOOKUP(B18,'[1]Mar1 Payroll'!$B$9:$FJ$68,{133,137,140,141,144,146,147,148},FALSE)),)&gt;90000,0,IF(BT18+BX18+BZ18+CA18+CB18+DZ18+IFERROR(SUM(VLOOKUP(B18,'[1]Mar1 Payroll'!$B$9:$EK$68,{133,137,140,141,144,146,147,148},FALSE)),)&lt;90000,BX18+IFERROR(SUM(VLOOKUP(B18,'[1]Mar1 Payroll'!$B$9:$FJ$68,{140,146},FALSE)),))),0)</f>
        <v>0</v>
      </c>
      <c r="ER18" s="27">
        <f t="array" ref="ER18">IFERROR(IF(BT18+BX18+BZ18+CA18+CB18+DZ18+IFERROR(SUM(VLOOKUP(B18,'[1]Mar1 Payroll'!$B$9:$FJ$68,{133,137,140,141,144,146,147,148},FALSE)),)&gt;90000,0,IF(BT18+BX18+BZ18+CA18+CB18+DZ18+IFERROR(SUM(VLOOKUP(B18,'[1]Mar1 Payroll'!$B$9:$EK$68,{133,137,140,141,144,146,147,148},FALSE)),)&lt;90000,BT18+IFERROR(SUM(VLOOKUP(B18,'[1]Mar1 Payroll'!$B$9:$FJ$68,{137,147},FALSE)),))),0)</f>
        <v>0</v>
      </c>
      <c r="ES18" s="27">
        <f t="array" ref="ES18">IFERROR(IF(BT18+BX18+BZ18+CA18+CB18+DZ18+IFERROR(SUM(VLOOKUP(B18,'[1]Mar1 Payroll'!$B$9:$FJ$68,{133,137,140,141,144,146,147,148},FALSE)),)&gt;90000,0,IF(BT18+BX18+BZ18+CA18+CB18+DZ18+IFERROR(SUM(VLOOKUP(B18,'[1]Mar1 Payroll'!$B$9:$EK$68,{133,137,140,141,144,146,147,148},FALSE)),)&lt;90000,BZ18+CA18+CB18+IFERROR(SUM(VLOOKUP(B18,'[1]Mar1 Payroll'!$B$9:$FJ$68,{141,148},FALSE)),))),0)</f>
        <v>0</v>
      </c>
      <c r="ET18" s="27">
        <f t="shared" si="58"/>
        <v>0</v>
      </c>
      <c r="EU18" s="27">
        <f t="shared" si="59"/>
        <v>4554</v>
      </c>
      <c r="EV18" s="27">
        <f>IFERROR(DV18+DW18+DX18+IFERROR(VLOOKUP(B18,'[1]Mar1 Payroll'!$B$9:$FJ$68,151,FALSE),),0)</f>
        <v>0</v>
      </c>
      <c r="EW18" s="27">
        <f>IFERROR(CS18+IFERROR(VLOOKUP(B18,'[1]Mar1 Payroll'!$B$9:$FJ$68,152,FALSE),),0)</f>
        <v>0</v>
      </c>
      <c r="EX18" s="27">
        <f>IFERROR(CU18+CV18+IFERROR(VLOOKUP(B18,'[1]Mar1 Payroll'!$B$9:$FJ$68,153,FALSE),),0)</f>
        <v>0</v>
      </c>
      <c r="EY18" s="27">
        <f>IFERROR(CW18+CX18+IFERROR(VLOOKUP(B18,'[1]Mar1 Payroll'!$B$9:$FJ$68,154,FALSE),),0)</f>
        <v>0</v>
      </c>
      <c r="EZ18" s="27">
        <f>IFERROR(CJ18+IFERROR(VLOOKUP(B18,'[1]Mar1 Payroll'!$B$9:$FJ$68,155,FALSE),),0)</f>
        <v>0</v>
      </c>
      <c r="FA18" s="27">
        <f>IFERROR(DP18+DQ18+DR18+IFERROR(VLOOKUP(B18,'[1]Mar1 Payroll'!$B$9:$FJ$68,156,FALSE),),0)</f>
        <v>0</v>
      </c>
      <c r="FB18" s="27">
        <f>IFERROR(CZ18+IFERROR(VLOOKUP(B18,'[1]Mar1 Payroll'!$B$9:$FJ$68,157,FALSE),),0)</f>
        <v>0</v>
      </c>
      <c r="FC18" s="27">
        <f>IFERROR(DA18+IFERROR(VLOOKUP(B18,'[1]Mar1 Payroll'!$B$9:$FJ$68,158,FALSE),),0)</f>
        <v>0</v>
      </c>
      <c r="FD18" s="27">
        <f>IFERROR(DB18+IFERROR(VLOOKUP(B18,'[1]Mar1 Payroll'!$B$9:$FJ$68,159,FALSE),),0)</f>
        <v>0</v>
      </c>
      <c r="FE18" s="27">
        <f>IFERROR(DD18+IFERROR(VLOOKUP(B18,'[1]Mar1 Payroll'!$B$9:$FJ$68,160,FALSE),),0)</f>
        <v>0</v>
      </c>
      <c r="FF18" s="27">
        <f>IFERROR(DE18+IFERROR(VLOOKUP(B18,'[1]Mar1 Payroll'!$B$9:$FJ$68,161,FALSE),),0)</f>
        <v>0</v>
      </c>
      <c r="FG18" s="27">
        <f>IFERROR(DF18+IFERROR(VLOOKUP(B18,'[1]Mar1 Payroll'!$B$9:$FJ$68,162,FALSE),),0)</f>
        <v>0</v>
      </c>
      <c r="FH18" s="27">
        <f>IFERROR(DG18+IFERROR(VLOOKUP(B18,'[1]Mar1 Payroll'!$B$9:$FJ$68,163,FALSE),),0)</f>
        <v>0</v>
      </c>
      <c r="FI18" s="27">
        <f t="shared" si="60"/>
        <v>0</v>
      </c>
      <c r="FJ18" s="28">
        <f t="shared" si="61"/>
        <v>4554</v>
      </c>
      <c r="FK18" s="5"/>
      <c r="FM18" s="29">
        <f t="shared" si="62"/>
        <v>3762</v>
      </c>
      <c r="FN18" s="30">
        <f t="shared" si="28"/>
        <v>792</v>
      </c>
      <c r="FO18" s="30">
        <f t="shared" si="63"/>
        <v>0</v>
      </c>
      <c r="FP18" s="30">
        <f t="shared" si="28"/>
        <v>0</v>
      </c>
      <c r="FQ18" s="30">
        <f t="shared" si="28"/>
        <v>0</v>
      </c>
      <c r="FR18" s="30">
        <f t="shared" si="28"/>
        <v>0</v>
      </c>
      <c r="FS18" s="30">
        <f t="shared" si="64"/>
        <v>0</v>
      </c>
      <c r="FT18" s="30">
        <f t="shared" si="28"/>
        <v>0</v>
      </c>
      <c r="FU18" s="30">
        <f t="shared" si="28"/>
        <v>0</v>
      </c>
      <c r="FV18" s="30">
        <f t="shared" si="65"/>
        <v>0</v>
      </c>
      <c r="FW18" s="30">
        <f t="shared" si="66"/>
        <v>0</v>
      </c>
      <c r="FX18" s="30">
        <f t="shared" si="67"/>
        <v>0</v>
      </c>
      <c r="FY18" s="30">
        <f t="shared" si="68"/>
        <v>0</v>
      </c>
      <c r="FZ18" s="30">
        <f t="shared" si="69"/>
        <v>189.75</v>
      </c>
      <c r="GA18" s="30">
        <f t="shared" si="28"/>
        <v>0</v>
      </c>
      <c r="GB18" s="30">
        <f t="shared" si="70"/>
        <v>0</v>
      </c>
      <c r="GC18" s="30">
        <f t="shared" si="71"/>
        <v>0</v>
      </c>
      <c r="GD18" s="30">
        <f t="shared" si="72"/>
        <v>0</v>
      </c>
      <c r="GE18" s="30">
        <f t="shared" si="73"/>
        <v>0</v>
      </c>
      <c r="GF18" s="30">
        <f t="shared" si="74"/>
        <v>4554</v>
      </c>
      <c r="GG18" s="30">
        <f t="shared" si="29"/>
        <v>0</v>
      </c>
      <c r="GH18" s="30">
        <f t="shared" si="29"/>
        <v>0</v>
      </c>
      <c r="GI18" s="30">
        <f t="shared" si="29"/>
        <v>0</v>
      </c>
      <c r="GJ18" s="30">
        <f t="shared" si="29"/>
        <v>0</v>
      </c>
      <c r="GK18" s="30">
        <f t="shared" si="29"/>
        <v>0</v>
      </c>
      <c r="GL18" s="30">
        <f t="shared" si="29"/>
        <v>0</v>
      </c>
      <c r="GM18" s="30">
        <f t="shared" si="29"/>
        <v>0</v>
      </c>
      <c r="GN18" s="30">
        <f t="shared" si="29"/>
        <v>0</v>
      </c>
      <c r="GO18" s="30">
        <f t="shared" si="29"/>
        <v>0</v>
      </c>
      <c r="GP18" s="30">
        <f t="shared" si="29"/>
        <v>0</v>
      </c>
      <c r="GQ18" s="30">
        <f t="shared" si="29"/>
        <v>0</v>
      </c>
      <c r="GR18" s="30">
        <f t="shared" si="29"/>
        <v>0</v>
      </c>
      <c r="GS18" s="30">
        <f t="shared" si="29"/>
        <v>0</v>
      </c>
      <c r="GT18" s="30">
        <f t="shared" si="75"/>
        <v>0</v>
      </c>
      <c r="GU18" s="31">
        <f t="shared" si="76"/>
        <v>4554</v>
      </c>
    </row>
    <row r="19" spans="1:205" s="3" customFormat="1" ht="15.75" customHeight="1" thickBot="1" x14ac:dyDescent="0.3">
      <c r="A19" s="33">
        <f t="shared" si="30"/>
        <v>11</v>
      </c>
      <c r="B19" s="25" t="s">
        <v>158</v>
      </c>
      <c r="C19" s="37" t="s">
        <v>159</v>
      </c>
      <c r="D19" s="25"/>
      <c r="E19" s="37" t="s">
        <v>160</v>
      </c>
      <c r="F19" s="25"/>
      <c r="G19" s="25">
        <v>10296</v>
      </c>
      <c r="H19" s="22">
        <f t="shared" ref="H19" si="78">IF(I19=0,G19/2,0)</f>
        <v>5148</v>
      </c>
      <c r="I19" s="25"/>
      <c r="J19" s="22">
        <v>396</v>
      </c>
      <c r="K19" s="22">
        <f t="shared" ref="K19" si="79">J19/8</f>
        <v>49.5</v>
      </c>
      <c r="L19" s="22">
        <f t="shared" ref="L19" si="80">K19/60</f>
        <v>0.82499999999999996</v>
      </c>
      <c r="M19" s="22">
        <f t="shared" ref="M19" si="81">H19+(I19*J19)</f>
        <v>5148</v>
      </c>
      <c r="N19" s="25"/>
      <c r="O19" s="22">
        <f t="shared" ref="O19" si="82">(K19*1.25)*N19</f>
        <v>0</v>
      </c>
      <c r="P19" s="25"/>
      <c r="Q19" s="22">
        <f t="shared" ref="Q19" si="83">(K19*1.3)*P19</f>
        <v>0</v>
      </c>
      <c r="R19" s="25"/>
      <c r="S19" s="22">
        <f t="shared" ref="S19" si="84">(K19*1.69)*R19</f>
        <v>0</v>
      </c>
      <c r="T19" s="22">
        <f t="shared" ref="T19" si="85">P19+R19</f>
        <v>0</v>
      </c>
      <c r="U19" s="22">
        <f t="shared" ref="U19" si="86">+Q19+S19</f>
        <v>0</v>
      </c>
      <c r="V19" s="25"/>
      <c r="W19" s="22">
        <f t="shared" ref="W19" si="87">(K19*0.3)*V19</f>
        <v>0</v>
      </c>
      <c r="X19" s="25"/>
      <c r="Y19" s="22">
        <f t="shared" ref="Y19" si="88">(K19*1.69)*X19</f>
        <v>0</v>
      </c>
      <c r="Z19" s="25"/>
      <c r="AA19" s="22">
        <f t="shared" ref="AA19" si="89">(K19*0.5)*Z19</f>
        <v>0</v>
      </c>
      <c r="AB19" s="25"/>
      <c r="AC19" s="22">
        <f t="shared" ref="AC19" si="90">(K19*1.95)*AB19</f>
        <v>0</v>
      </c>
      <c r="AD19" s="25"/>
      <c r="AE19" s="22">
        <f t="shared" ref="AE19" si="91">K19*AD19</f>
        <v>0</v>
      </c>
      <c r="AF19" s="25"/>
      <c r="AG19" s="22">
        <f t="shared" ref="AG19" si="92">(K19*2.6)*AF19</f>
        <v>0</v>
      </c>
      <c r="AH19" s="25"/>
      <c r="AI19" s="22">
        <f t="shared" ref="AI19" si="93">(K19*2.6)*AH19</f>
        <v>0</v>
      </c>
      <c r="AJ19" s="25"/>
      <c r="AK19" s="22">
        <f t="shared" ref="AK19" si="94">(K19*3.38)*AJ19</f>
        <v>0</v>
      </c>
      <c r="AL19" s="22">
        <f t="shared" ref="AL19" si="95">V19+X19+Z19+AB19+AD19+AF19+AH19+AJ19</f>
        <v>0</v>
      </c>
      <c r="AM19" s="22">
        <f t="shared" ref="AM19" si="96">W19+Y19+AA19+AC19+AE19+AG19+AI19+AK19</f>
        <v>0</v>
      </c>
      <c r="AN19" s="25"/>
      <c r="AO19" s="22">
        <f t="shared" ref="AO19" si="97">(K19*0.1)*AN19</f>
        <v>0</v>
      </c>
      <c r="AP19" s="25"/>
      <c r="AQ19" s="22">
        <f t="shared" ref="AQ19" si="98">((K19*1.25)*0.1)*AP19</f>
        <v>0</v>
      </c>
      <c r="AR19" s="25"/>
      <c r="AS19" s="22">
        <f t="shared" ref="AS19" si="99">((K19*2)*0.1)*AR19</f>
        <v>0</v>
      </c>
      <c r="AT19" s="25"/>
      <c r="AU19" s="22">
        <f t="shared" ref="AU19" si="100">((K19*2.6)*0.1)*AT19</f>
        <v>0</v>
      </c>
      <c r="AV19" s="25"/>
      <c r="AW19" s="22">
        <f t="shared" ref="AW19" si="101">((K19*3.38)*0.1)*AV19</f>
        <v>0</v>
      </c>
      <c r="AX19" s="25"/>
      <c r="AY19" s="22">
        <f t="shared" ref="AY19" si="102">((K19*1.3)*0.1)*AX19</f>
        <v>0</v>
      </c>
      <c r="AZ19" s="25"/>
      <c r="BA19" s="22">
        <f t="shared" ref="BA19" si="103">((K19*1.69)*0.1)*AZ19</f>
        <v>0</v>
      </c>
      <c r="BB19" s="25"/>
      <c r="BC19" s="22">
        <f t="shared" ref="BC19" si="104">((K19*1.5)*0.1)*BB19</f>
        <v>0</v>
      </c>
      <c r="BD19" s="25"/>
      <c r="BE19" s="22">
        <f t="shared" ref="BE19" si="105">((K19*1.95)*0.1)*BD19</f>
        <v>0</v>
      </c>
      <c r="BF19" s="22">
        <f t="shared" ref="BF19" si="106">AN19+AP19+AR19+AT19+AV19+AX19+AZ19+BB19+BD19</f>
        <v>0</v>
      </c>
      <c r="BG19" s="22">
        <f t="shared" ref="BG19" si="107">AO19+AQ19+AS19+AU19+AW19+AY19+BA19+BC19+BE19</f>
        <v>0</v>
      </c>
      <c r="BH19" s="25"/>
      <c r="BI19" s="21">
        <f>IFERROR(VLOOKUP(B19,'[1]Mar1 Payroll'!$B$9:$FJ$68,66,FALSE),)</f>
        <v>0</v>
      </c>
      <c r="BJ19" s="21">
        <f>IFERROR(VLOOKUP(B19,'[1]Mar1 Payroll'!$B$9:$FJ$68,67,FALSE),)</f>
        <v>0</v>
      </c>
      <c r="BK19" s="25"/>
      <c r="BL19" s="25"/>
      <c r="BM19" s="25"/>
      <c r="BN19" s="25"/>
      <c r="BO19" s="21">
        <f t="shared" ref="BO19" si="108">BI19+BK19-BM19</f>
        <v>0</v>
      </c>
      <c r="BP19" s="21">
        <f t="shared" ref="BP19" si="109">BJ19+BL19-BN19</f>
        <v>0</v>
      </c>
      <c r="BQ19" s="21">
        <f t="shared" ref="BQ19" si="110">IFERROR(IF(I19&gt;1,J19*BM19,),)</f>
        <v>0</v>
      </c>
      <c r="BR19" s="21">
        <f t="shared" ref="BR19" si="111">IFERROR(IF(I19&gt;1,J19*BN19,),)</f>
        <v>0</v>
      </c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2">
        <f t="shared" ref="CC19" si="112">M19+O19+U19+AM19+BG19+BH19+BS19+BT19+BU19+BV19+BW19+BX19+BY19+CB19+BR19+BQ19</f>
        <v>5148</v>
      </c>
      <c r="CD19" s="25"/>
      <c r="CE19" s="22">
        <f t="shared" ref="CE19" si="113">-K19*CD19</f>
        <v>0</v>
      </c>
      <c r="CF19" s="34"/>
      <c r="CG19" s="21">
        <f t="shared" ref="CG19" si="114">-L19*CF19</f>
        <v>0</v>
      </c>
      <c r="CH19" s="25"/>
      <c r="CI19" s="22">
        <f t="shared" ref="CI19" si="115">-J19*CH19</f>
        <v>0</v>
      </c>
      <c r="CJ19" s="22">
        <f t="shared" ref="CJ19" si="116">CE19+CI19+CG19</f>
        <v>0</v>
      </c>
      <c r="CK19" s="35" t="str">
        <f>_xlfn.IFNA(VLOOKUP(B19,'[1]201'!$E$7:$H$66,2,FALSE),"")</f>
        <v/>
      </c>
      <c r="CL19" s="35" t="str">
        <f>_xlfn.IFNA(VLOOKUP(B19,'[1]201'!$E$7:$H$66,3,FALSE),"")</f>
        <v/>
      </c>
      <c r="CM19" s="35" t="str">
        <f>_xlfn.IFNA(VLOOKUP(B19,'[1]201'!$E$7:$H$66,4,FALSE),"")</f>
        <v/>
      </c>
      <c r="CN19" s="22">
        <f>_xlfn.IFNA(IF(CK19=0,0,IF($CN$8=1,-VLOOKUP(G19,[1]!SSSW[#Data],7,TRUE),0)),0)</f>
        <v>0</v>
      </c>
      <c r="CO19" s="22">
        <f>_xlfn.IFNA(IF(CK19=0,0,IF($CO$8=1,-VLOOKUP(M19,[1]!SSSW[#Data],7,TRUE),0)),0)</f>
        <v>0</v>
      </c>
      <c r="CP19" s="22">
        <f>_xlfn.IFNA(IF(CK19=0,0,IF($CP$8=1,-VLOOKUP(CC19+IFERROR(VLOOKUP(B19,'[1]Mar1 Payroll'!$B$9:$FJ$68,80,FALSE),),[1]!SSSW[#Data],7,TRUE),0)),0)</f>
        <v>0</v>
      </c>
      <c r="CQ19" s="22">
        <f>_xlfn.IFNA(IF(CK19=0,0,IF($CQ$8=1,-VLOOKUP(CC19,[1]!SSSW[#Data],7,TRUE),0)),0)</f>
        <v>0</v>
      </c>
      <c r="CR19" s="22">
        <f>IFERROR(IF(CQ19&lt;0,-VLOOKUP(CC19+IFERROR(VLOOKUP(B19,'[1]Mar1 Payroll'!$B$9:$FJ$68,80,FALSE),),[1]!SSSW[#Data],13,TRUE),IF(CP19&lt;0,-VLOOKUP(CC19+IFERROR(VLOOKUP(B19,'[1]Mar1 Payroll'!$B$9:$FJ$68,80,FALSE),),[1]!SSSW[#Data],13,TRUE),IF(CO19&lt;0,-VLOOKUP(G19,[1]!SSSW[#Data],13,TRUE),IF(CN19&lt;0,-VLOOKUP(G19,[1]!SSSW[#Data],13,TRUE),)))),)</f>
        <v>0</v>
      </c>
      <c r="CS19" s="22">
        <f t="shared" ref="CS19" si="117">CN19+CO19+CP19+CQ19+CR19</f>
        <v>0</v>
      </c>
      <c r="CT19" s="22">
        <f>IFERROR(IF(CN19&lt;0,-VLOOKUP(G19,[1]!SSSW[#Data],15,TRUE),IF(CQ19&lt;0,(-VLOOKUP(CC19,[1]!SSSW[#Data],15,TRUE)),IF(CP19&lt;0,-VLOOKUP(CC19+IFERROR(VLOOKUP(B19,'[1]Mar1 Payroll'!$B$9:$FJ$68,80,FALSE),),[1]!SSSW[#Data],15,TRUE),IF(CO19&lt;0,(-VLOOKUP(M19,[1]!SSSW[#Data],15,TRUE)),)))),)</f>
        <v>0</v>
      </c>
      <c r="CU19" s="22">
        <f t="shared" ref="CU19" si="118">IFERROR(-IF(M19=0,0,IF($CU$8=1,IF(CL19&gt;1,IF(M19&gt;30000,900,IF(M19&lt;=5000,150,IF(M19&gt;5000,M19*0.03)))))),)</f>
        <v>0</v>
      </c>
      <c r="CV19" s="22">
        <f t="shared" ref="CV19" si="119">IFERROR(-IF(M19=0,0,IF($CV$8=1,IF(CL19&gt;1,IF(M19&gt;30000,450,IF(M19&lt;=5000,75,IF(M19&gt;5000,((M19*0.03)/2))))))),)</f>
        <v>0</v>
      </c>
      <c r="CW19" s="22">
        <f t="shared" ref="CW19" si="120">IFERROR(-IF(M19=0,0,IF($CW$8=1,IF(CM19&gt;1,100,0),"")),0)</f>
        <v>0</v>
      </c>
      <c r="CX19" s="22">
        <f t="shared" ref="CX19" si="121">IFERROR(-IF(M19=0,0,IF($CX$8=1,IF(CM19&gt;1,50,0),"")),0)</f>
        <v>0</v>
      </c>
      <c r="CY19" s="22">
        <f t="shared" ref="CY19" si="122">CS19+CU19+CV19+CW19+CX19</f>
        <v>0</v>
      </c>
      <c r="CZ19" s="25"/>
      <c r="DA19" s="25"/>
      <c r="DB19" s="25"/>
      <c r="DC19" s="22">
        <f t="shared" ref="DC19" si="123">CZ19+DA19+DB19</f>
        <v>0</v>
      </c>
      <c r="DD19" s="25"/>
      <c r="DE19" s="25"/>
      <c r="DF19" s="25"/>
      <c r="DG19" s="25"/>
      <c r="DH19" s="22">
        <f t="shared" ref="DH19" si="124">DD19+DE19+DF19+DG19</f>
        <v>0</v>
      </c>
      <c r="DI19" s="34"/>
      <c r="DJ19" s="34"/>
      <c r="DK19" s="34"/>
      <c r="DL19" s="34"/>
      <c r="DM19" s="34"/>
      <c r="DN19" s="34"/>
      <c r="DO19" s="21">
        <f t="shared" ref="DO19" si="125">DI19+DJ19+DK19+DL19+DM19+DN19</f>
        <v>0</v>
      </c>
      <c r="DP19" s="34"/>
      <c r="DQ19" s="34"/>
      <c r="DR19" s="25"/>
      <c r="DS19" s="22">
        <f t="shared" ref="DS19" si="126">CJ19+CY19+DC19+DH19+DO19+DP19+DQ19+DR19</f>
        <v>0</v>
      </c>
      <c r="DT19" s="22">
        <f t="shared" ref="DT19" si="127">CC19+DS19</f>
        <v>5148</v>
      </c>
      <c r="DU19" s="22">
        <f t="shared" ref="DU19" si="128">M19+O19+U19+AM19+BG19+CY19</f>
        <v>5148</v>
      </c>
      <c r="DV19" s="25">
        <f t="shared" ref="DV19" si="129">-IF($DV$8=1,IF(M19&lt;10417,0,IF(M19&lt;16667,((M19-10417)*0.2),IF(M19&lt;33333,((M19-16667)*0.25)+1250,IF(M19&lt;83333,((M19-33333)*0.3)+5416.67,IF(M19&lt;333333,((M19-83333)*0.32)+20416.67,((M19-333333)*0.35)+100416.67))))),0)</f>
        <v>0</v>
      </c>
      <c r="DW19" s="22">
        <f t="shared" ref="DW19" si="130">-IF($DW$8=1,IF(DU19&lt;10417,0,IF(DU19&lt;16667,((DU19-10417)*0.2),IF(DU19&lt;33333,((DU19-16667)*0.25)+1250,IF(DU19&lt;83333,((DU19-33333)*0.3)+5416.67,IF(DU19&lt;333333,((DU19-83333)*0.32)+20416.67,((DU19-333333)*0.35)+100416.67))))),0)</f>
        <v>0</v>
      </c>
      <c r="DX19" s="25">
        <f t="shared" ref="DX19" si="131">-IF($DX$8=1,IF(DT19&lt;10417,0,IF(DT19&lt;16667,((DT19-10417)*0.2),IF(DT19&lt;33333,((DT19-16667)*0.25)+1250,IF(DT19&lt;83333,((DT19-33333)*0.3)+5416.67,IF(DT19&lt;333333,((DT19-83333)*0.32)+20416.67,((DT19-333333)*0.35)+100416.67))))),0)</f>
        <v>0</v>
      </c>
      <c r="DY19" s="22">
        <f t="shared" ref="DY19" si="132">DT19+DV19+DW19+DX19</f>
        <v>5148</v>
      </c>
      <c r="DZ19" s="26">
        <f t="shared" ref="DZ19" si="133">((M19+O19+U19+AM19+BG19)+(CJ19))/24</f>
        <v>214.5</v>
      </c>
      <c r="EA19"/>
      <c r="EB19" s="27">
        <f>IFERROR(M19+IFERROR(VLOOKUP(B19,'[1]Mar1 Payroll'!$B$9:$FJ$68,131,FALSE),),0)</f>
        <v>5148</v>
      </c>
      <c r="EC19" s="27">
        <f>IFERROR(O19+U19+AM19+BG19+BH19+IFERROR(VLOOKUP(B19,'[1]Mar1 Payroll'!$B$9:$FJ$68,132,FALSE),),)</f>
        <v>0</v>
      </c>
      <c r="ED19" s="27">
        <f t="array" ref="ED19">IFERROR(IF(BT19+BX19+BZ19+CA19+CB19+DZ19+IFERROR(SUM(VLOOKUP(B19,'[1]Mar1 Payroll'!$B$9:$FJ$68,{133,137,140,141,144,146,147,148},FALSE)),)&gt;90000,DZ19+IFERROR(SUM(VLOOKUP(B19,'[1]Mar1 Payroll'!$B$9:$FJ$68,{133,144},FALSE)),),IF(BT19+BX19+BZ19+CA19+CB19+DZ19+IFERROR(SUM(VLOOKUP(B19,'[1]Mar1 Payroll'!$B$9:$EK$68,{133,137,140,141,144,146,147,148},FALSE)),)&lt;90000,0,0)),0)</f>
        <v>0</v>
      </c>
      <c r="EE19" s="27">
        <f>IFERROR(BS19+IFERROR(VLOOKUP(B19,'[1]Mar1 Payroll'!$B$9:$FJ$68,134,FALSE),),0)</f>
        <v>0</v>
      </c>
      <c r="EF19" s="27">
        <f>IFERROR(BQ19+IFERROR(VLOOKUP(B19,'[1]Mar1 Payroll'!$B$9:$FJ$68,135,FALSE),),0)</f>
        <v>0</v>
      </c>
      <c r="EG19" s="27">
        <f>IFERROR(BR19+IFERROR(VLOOKUP(B19,'[1]Mar1 Payroll'!$B$9:$FJ$68,136,FALSE),),0)</f>
        <v>0</v>
      </c>
      <c r="EH19" s="27">
        <f t="array" ref="EH19">IFERROR(IF(BT19+BX19+BZ19+CA19+CB19+DZ19+IFERROR(SUM(VLOOKUP(B19,'[1]Mar1 Payroll'!$B$9:$FJ$68,{133,137,140,141,144,146,147,148},FALSE)),)&gt;90000,BT19+IFERROR(SUM(VLOOKUP(B19,'[1]Mar1 Payroll'!$B$9:$FJ$68,{137,147},FALSE)),),IF(BT19+BX19+BZ19+CA19+CB19+DZ19+IFERROR(SUM(VLOOKUP(B19,'[1]Mar1 Payroll'!$B$9:$EK$68,{133,137,140,141,144,146,147,148},FALSE)),)&lt;90000,0,0)),0)</f>
        <v>0</v>
      </c>
      <c r="EI19" s="27">
        <f>IFERROR(BU19+IFERROR(VLOOKUP(B19,'[1]Mar1 Payroll'!$B$9:$FJ$68,138,FALSE),),0)</f>
        <v>0</v>
      </c>
      <c r="EJ19" s="27">
        <f>IFERROR(BV19+IFERROR(VLOOKUP(B19,'[1]Mar1 Payroll'!$B$9:$FJ$68,139,FALSE),),0)</f>
        <v>0</v>
      </c>
      <c r="EK19" s="27">
        <f t="array" ref="EK19">IFERROR(IF(BT19+BX19+BZ19+CA19+CB19+DZ19+IFERROR(SUM(VLOOKUP(B19,'[1]Mar1 Payroll'!$B$9:$FJ$68,{133,137,140,141,144,146,147,148},FALSE)),)&gt;90000,BX19+IFERROR(SUM(VLOOKUP(B19,'[1]Mar1 Payroll'!$B$9:$FJ$68,{140,146},FALSE)),),IF(BT19+BX19+BZ19+CA19+CB19+DZ19+IFERROR(SUM(VLOOKUP(B19,'[1]Mar1 Payroll'!$B$9:$EK$68,{133,137,140,141,144,146,147,148},FALSE)),)&lt;90000,0,0)),0)</f>
        <v>0</v>
      </c>
      <c r="EL19" s="27">
        <f t="array" ref="EL19">IFERROR(IF(BT19+BX19+BZ19+CA19+CB19+DZ19+IFERROR(SUM(VLOOKUP(B19,'[1]Mar1 Payroll'!$B$9:$FJ$68,{133,137,140,141,144,146,147,148},FALSE)),)&gt;90000,BZ19+CA19+CB19+IFERROR(SUM(VLOOKUP(B19,'[1]Mar1 Payroll'!$B$9:$FJ$68,{141,148},FALSE)),),IF(BT19+BX19+BZ19+CA19+CB19+DZ19+IFERROR(SUM(VLOOKUP(B19,'[1]Mar1 Payroll'!$B$9:$EK$68,{133,137,140,141,144,146,147,148},FALSE)),)&lt;90000,0,0)),0)</f>
        <v>0</v>
      </c>
      <c r="EM19" s="27">
        <f t="shared" ref="EM19" si="134">IF(ED19+EH19+EK19+EL19&gt;90000,(ED19+EH19+EL19+EK19)-90000,0)</f>
        <v>0</v>
      </c>
      <c r="EN19" s="27">
        <f t="shared" ref="EN19" si="135">SUM(EE19:EL19)</f>
        <v>0</v>
      </c>
      <c r="EO19" s="27">
        <f t="array" ref="EO19">IFERROR(IF(BT19+BX19+BZ19+CA19+CB19+DZ19+IFERROR(SUM(VLOOKUP(B19,'[1]Mar1 Payroll'!$B$9:$FJ$68,{133,137,140,141,144,146,147,148},FALSE)),)&gt;90000,0,IF(BT19+BX19+BZ19+CA19+CB19+DZ19+IFERROR(SUM(VLOOKUP(B19,'[1]Mar1 Payroll'!$B$9:$EK$68,{133,137,140,141,144,146,147,148},FALSE)),)&lt;90000,DZ19+IFERROR(SUM(VLOOKUP(B19,'[1]Mar1 Payroll'!$B$9:$FJ$68,{133,144},FALSE)),),)),)</f>
        <v>214.5</v>
      </c>
      <c r="EP19" s="27">
        <f>IFERROR(BY19+IFERROR(VLOOKUP(B19,'[1]Mar1 Payroll'!$B$9:$FJ$68,145,FALSE),),0)</f>
        <v>0</v>
      </c>
      <c r="EQ19" s="27">
        <f t="array" ref="EQ19">IFERROR(IF(BT19+BX19+BZ19+CA19+CB19+DZ19+IFERROR(SUM(VLOOKUP(B19,'[1]Mar1 Payroll'!$B$9:$FJ$68,{133,137,140,141,144,146,147,148},FALSE)),)&gt;90000,0,IF(BT19+BX19+BZ19+CA19+CB19+DZ19+IFERROR(SUM(VLOOKUP(B19,'[1]Mar1 Payroll'!$B$9:$EK$68,{133,137,140,141,144,146,147,148},FALSE)),)&lt;90000,BX19+IFERROR(SUM(VLOOKUP(B19,'[1]Mar1 Payroll'!$B$9:$FJ$68,{140,146},FALSE)),))),0)</f>
        <v>0</v>
      </c>
      <c r="ER19" s="27">
        <f t="array" ref="ER19">IFERROR(IF(BT19+BX19+BZ19+CA19+CB19+DZ19+IFERROR(SUM(VLOOKUP(B19,'[1]Mar1 Payroll'!$B$9:$FJ$68,{133,137,140,141,144,146,147,148},FALSE)),)&gt;90000,0,IF(BT19+BX19+BZ19+CA19+CB19+DZ19+IFERROR(SUM(VLOOKUP(B19,'[1]Mar1 Payroll'!$B$9:$EK$68,{133,137,140,141,144,146,147,148},FALSE)),)&lt;90000,BT19+IFERROR(SUM(VLOOKUP(B19,'[1]Mar1 Payroll'!$B$9:$FJ$68,{137,147},FALSE)),))),0)</f>
        <v>0</v>
      </c>
      <c r="ES19" s="27">
        <f t="array" ref="ES19">IFERROR(IF(BT19+BX19+BZ19+CA19+CB19+DZ19+IFERROR(SUM(VLOOKUP(B19,'[1]Mar1 Payroll'!$B$9:$FJ$68,{133,137,140,141,144,146,147,148},FALSE)),)&gt;90000,0,IF(BT19+BX19+BZ19+CA19+CB19+DZ19+IFERROR(SUM(VLOOKUP(B19,'[1]Mar1 Payroll'!$B$9:$EK$68,{133,137,140,141,144,146,147,148},FALSE)),)&lt;90000,BZ19+CA19+CB19+IFERROR(SUM(VLOOKUP(B19,'[1]Mar1 Payroll'!$B$9:$FJ$68,{141,148},FALSE)),))),0)</f>
        <v>0</v>
      </c>
      <c r="ET19" s="27">
        <f t="shared" ref="ET19" si="136">SUM(EP19:ES19)</f>
        <v>0</v>
      </c>
      <c r="EU19" s="27">
        <f t="shared" ref="EU19" si="137">EB19+EC19+EN19+ET19</f>
        <v>5148</v>
      </c>
      <c r="EV19" s="27">
        <f>IFERROR(DV19+DW19+DX19+IFERROR(VLOOKUP(B19,'[1]Mar1 Payroll'!$B$9:$FJ$68,151,FALSE),),0)</f>
        <v>0</v>
      </c>
      <c r="EW19" s="27">
        <f>IFERROR(CS19+IFERROR(VLOOKUP(B19,'[1]Mar1 Payroll'!$B$9:$FJ$68,152,FALSE),),0)</f>
        <v>0</v>
      </c>
      <c r="EX19" s="27">
        <f>IFERROR(CU19+CV19+IFERROR(VLOOKUP(B19,'[1]Mar1 Payroll'!$B$9:$FJ$68,153,FALSE),),0)</f>
        <v>0</v>
      </c>
      <c r="EY19" s="27">
        <f>IFERROR(CW19+CX19+IFERROR(VLOOKUP(B19,'[1]Mar1 Payroll'!$B$9:$FJ$68,154,FALSE),),0)</f>
        <v>0</v>
      </c>
      <c r="EZ19" s="27">
        <f>IFERROR(CJ19+IFERROR(VLOOKUP(B19,'[1]Mar1 Payroll'!$B$9:$FJ$68,155,FALSE),),0)</f>
        <v>0</v>
      </c>
      <c r="FA19" s="27">
        <f>IFERROR(DP19+DQ19+DR19+IFERROR(VLOOKUP(B19,'[1]Mar1 Payroll'!$B$9:$FJ$68,156,FALSE),),0)</f>
        <v>0</v>
      </c>
      <c r="FB19" s="27">
        <f>IFERROR(CZ19+IFERROR(VLOOKUP(B19,'[1]Mar1 Payroll'!$B$9:$FJ$68,157,FALSE),),0)</f>
        <v>0</v>
      </c>
      <c r="FC19" s="27">
        <f>IFERROR(DA19+IFERROR(VLOOKUP(B19,'[1]Mar1 Payroll'!$B$9:$FJ$68,158,FALSE),),0)</f>
        <v>0</v>
      </c>
      <c r="FD19" s="27">
        <f>IFERROR(DB19+IFERROR(VLOOKUP(B19,'[1]Mar1 Payroll'!$B$9:$FJ$68,159,FALSE),),0)</f>
        <v>0</v>
      </c>
      <c r="FE19" s="27">
        <f>IFERROR(DD19+IFERROR(VLOOKUP(B19,'[1]Mar1 Payroll'!$B$9:$FJ$68,160,FALSE),),0)</f>
        <v>0</v>
      </c>
      <c r="FF19" s="27">
        <f>IFERROR(DE19+IFERROR(VLOOKUP(B19,'[1]Mar1 Payroll'!$B$9:$FJ$68,161,FALSE),),0)</f>
        <v>0</v>
      </c>
      <c r="FG19" s="27">
        <f>IFERROR(DF19+IFERROR(VLOOKUP(B19,'[1]Mar1 Payroll'!$B$9:$FJ$68,162,FALSE),),0)</f>
        <v>0</v>
      </c>
      <c r="FH19" s="27">
        <f>IFERROR(DG19+IFERROR(VLOOKUP(B19,'[1]Mar1 Payroll'!$B$9:$FJ$68,163,FALSE),),0)</f>
        <v>0</v>
      </c>
      <c r="FI19" s="27">
        <f t="shared" ref="FI19" si="138">SUM(EV19:FD19)</f>
        <v>0</v>
      </c>
      <c r="FJ19" s="28">
        <f t="shared" ref="FJ19" si="139">EU19+FI19</f>
        <v>5148</v>
      </c>
      <c r="FK19" s="5"/>
      <c r="FM19" s="29">
        <f t="shared" ref="FM19" si="140">EB19</f>
        <v>5148</v>
      </c>
      <c r="FN19" s="30">
        <f t="shared" ref="FN19" si="141">EC19</f>
        <v>0</v>
      </c>
      <c r="FO19" s="30">
        <f t="shared" ref="FO19" si="142">IFERROR(IF(FZ19+GB19+GC19+GD19=90000,ED19-FZ19,),)</f>
        <v>0</v>
      </c>
      <c r="FP19" s="30">
        <f t="shared" ref="FP19" si="143">EE19</f>
        <v>0</v>
      </c>
      <c r="FQ19" s="30">
        <f t="shared" ref="FQ19" si="144">EF19</f>
        <v>0</v>
      </c>
      <c r="FR19" s="30">
        <f t="shared" ref="FR19" si="145">EG19</f>
        <v>0</v>
      </c>
      <c r="FS19" s="30">
        <f t="shared" ref="FS19" si="146">IFERROR(IF(FZ19+GB19+GC19+GD19=90000,EH19-GC19,),)</f>
        <v>0</v>
      </c>
      <c r="FT19" s="30">
        <f t="shared" ref="FT19" si="147">EI19</f>
        <v>0</v>
      </c>
      <c r="FU19" s="30">
        <f t="shared" ref="FU19" si="148">EJ19</f>
        <v>0</v>
      </c>
      <c r="FV19" s="30">
        <f t="shared" ref="FV19" si="149">IFERROR(IF(FZ19+GB19+GC19+GD19=90000,EK19-GB19,),)</f>
        <v>0</v>
      </c>
      <c r="FW19" s="30">
        <f t="shared" ref="FW19" si="150">IFERROR(IF(FZ19+GB19+GC19+GD19=90000,EL19-GD19,),)</f>
        <v>0</v>
      </c>
      <c r="FX19" s="30">
        <f t="shared" ref="FX19" si="151">FO19+FS19+FV19+FW19</f>
        <v>0</v>
      </c>
      <c r="FY19" s="30">
        <f t="shared" ref="FY19" si="152">SUM(FP19:FW19)</f>
        <v>0</v>
      </c>
      <c r="FZ19" s="30">
        <f t="shared" ref="FZ19" si="153">IFERROR(EO19+IFERROR((ED19*(90000/(ED19+EH19+EK19+EL19))),),)</f>
        <v>214.5</v>
      </c>
      <c r="GA19" s="30">
        <f t="shared" ref="GA19" si="154">EP19</f>
        <v>0</v>
      </c>
      <c r="GB19" s="30">
        <f t="shared" ref="GB19" si="155">IFERROR(EQ19+IFERROR((EK19*(90000/(ED19+EH19+EK19+EL19))),),)</f>
        <v>0</v>
      </c>
      <c r="GC19" s="30">
        <f t="shared" ref="GC19" si="156">IFERROR(ER19+IFERROR((EH19*(90000/(ED19+EH19+EK19+EL19))),),)</f>
        <v>0</v>
      </c>
      <c r="GD19" s="30">
        <f t="shared" ref="GD19" si="157">IFERROR(ES19+IFERROR((EL19*(90000/ED19+EH19+EK19+EL19)),),)</f>
        <v>0</v>
      </c>
      <c r="GE19" s="30">
        <f t="shared" ref="GE19" si="158">SUM(GA19:GD19)</f>
        <v>0</v>
      </c>
      <c r="GF19" s="30">
        <f t="shared" ref="GF19" si="159">FM19+FN19+FY19+GE19</f>
        <v>5148</v>
      </c>
      <c r="GG19" s="30">
        <f t="shared" ref="GG19" si="160">EV19</f>
        <v>0</v>
      </c>
      <c r="GH19" s="30">
        <f t="shared" ref="GH19" si="161">EW19</f>
        <v>0</v>
      </c>
      <c r="GI19" s="30">
        <f t="shared" ref="GI19" si="162">EX19</f>
        <v>0</v>
      </c>
      <c r="GJ19" s="30">
        <f t="shared" ref="GJ19" si="163">EY19</f>
        <v>0</v>
      </c>
      <c r="GK19" s="30">
        <f t="shared" ref="GK19" si="164">EZ19</f>
        <v>0</v>
      </c>
      <c r="GL19" s="30">
        <f t="shared" ref="GL19" si="165">FA19</f>
        <v>0</v>
      </c>
      <c r="GM19" s="30">
        <f t="shared" ref="GM19" si="166">FB19</f>
        <v>0</v>
      </c>
      <c r="GN19" s="30">
        <f t="shared" ref="GN19" si="167">FC19</f>
        <v>0</v>
      </c>
      <c r="GO19" s="30">
        <f t="shared" ref="GO19" si="168">FD19</f>
        <v>0</v>
      </c>
      <c r="GP19" s="30">
        <f t="shared" ref="GP19" si="169">FE19</f>
        <v>0</v>
      </c>
      <c r="GQ19" s="30">
        <f t="shared" ref="GQ19" si="170">FF19</f>
        <v>0</v>
      </c>
      <c r="GR19" s="30">
        <f t="shared" ref="GR19" si="171">FG19</f>
        <v>0</v>
      </c>
      <c r="GS19" s="30">
        <f t="shared" ref="GS19" si="172">FH19</f>
        <v>0</v>
      </c>
      <c r="GT19" s="30">
        <f t="shared" ref="GT19" si="173">SUM(GG19:GS19)</f>
        <v>0</v>
      </c>
      <c r="GU19" s="31">
        <f t="shared" ref="GU19" si="174">GF19+GT19</f>
        <v>5148</v>
      </c>
    </row>
    <row r="20" spans="1:205" s="3" customFormat="1" ht="15.75" customHeight="1" x14ac:dyDescent="0.25">
      <c r="A20" s="33">
        <f t="shared" si="30"/>
        <v>12</v>
      </c>
      <c r="B20" s="25" t="s">
        <v>161</v>
      </c>
      <c r="C20" s="37" t="s">
        <v>159</v>
      </c>
      <c r="D20" s="25"/>
      <c r="E20" s="37" t="s">
        <v>160</v>
      </c>
      <c r="F20" s="25"/>
      <c r="G20" s="25">
        <v>10296</v>
      </c>
      <c r="H20" s="22">
        <f t="shared" ref="H20" si="175">IF(I20=0,G20/2,0)</f>
        <v>0</v>
      </c>
      <c r="I20" s="25">
        <v>10</v>
      </c>
      <c r="J20" s="22">
        <v>396</v>
      </c>
      <c r="K20" s="22">
        <f t="shared" ref="K20" si="176">J20/8</f>
        <v>49.5</v>
      </c>
      <c r="L20" s="22">
        <f t="shared" ref="L20" si="177">K20/60</f>
        <v>0.82499999999999996</v>
      </c>
      <c r="M20" s="22">
        <f t="shared" ref="M20" si="178">H20+(I20*J20)</f>
        <v>3960</v>
      </c>
      <c r="N20" s="25"/>
      <c r="O20" s="22">
        <f t="shared" ref="O20" si="179">(K20*1.25)*N20</f>
        <v>0</v>
      </c>
      <c r="P20" s="25"/>
      <c r="Q20" s="22">
        <f t="shared" ref="Q20" si="180">(K20*1.3)*P20</f>
        <v>0</v>
      </c>
      <c r="R20" s="25"/>
      <c r="S20" s="22">
        <f t="shared" ref="S20" si="181">(K20*1.69)*R20</f>
        <v>0</v>
      </c>
      <c r="T20" s="22">
        <f t="shared" ref="T20" si="182">P20+R20</f>
        <v>0</v>
      </c>
      <c r="U20" s="22">
        <f t="shared" ref="U20" si="183">+Q20+S20</f>
        <v>0</v>
      </c>
      <c r="V20" s="25"/>
      <c r="W20" s="22">
        <f t="shared" ref="W20" si="184">(K20*0.3)*V20</f>
        <v>0</v>
      </c>
      <c r="X20" s="25"/>
      <c r="Y20" s="22">
        <f t="shared" ref="Y20" si="185">(K20*1.69)*X20</f>
        <v>0</v>
      </c>
      <c r="Z20" s="25"/>
      <c r="AA20" s="22">
        <f t="shared" ref="AA20" si="186">(K20*0.5)*Z20</f>
        <v>0</v>
      </c>
      <c r="AB20" s="25"/>
      <c r="AC20" s="22">
        <f t="shared" ref="AC20" si="187">(K20*1.95)*AB20</f>
        <v>0</v>
      </c>
      <c r="AD20" s="25">
        <v>16</v>
      </c>
      <c r="AE20" s="22">
        <f t="shared" ref="AE20" si="188">K20*AD20</f>
        <v>792</v>
      </c>
      <c r="AF20" s="25"/>
      <c r="AG20" s="22">
        <f t="shared" ref="AG20" si="189">(K20*2.6)*AF20</f>
        <v>0</v>
      </c>
      <c r="AH20" s="25"/>
      <c r="AI20" s="22">
        <f t="shared" ref="AI20" si="190">(K20*2.6)*AH20</f>
        <v>0</v>
      </c>
      <c r="AJ20" s="25"/>
      <c r="AK20" s="22">
        <f t="shared" ref="AK20" si="191">(K20*3.38)*AJ20</f>
        <v>0</v>
      </c>
      <c r="AL20" s="22">
        <f t="shared" ref="AL20" si="192">V20+X20+Z20+AB20+AD20+AF20+AH20+AJ20</f>
        <v>16</v>
      </c>
      <c r="AM20" s="22">
        <f t="shared" ref="AM20" si="193">W20+Y20+AA20+AC20+AE20+AG20+AI20+AK20</f>
        <v>792</v>
      </c>
      <c r="AN20" s="25"/>
      <c r="AO20" s="22">
        <f t="shared" ref="AO20" si="194">(K20*0.1)*AN20</f>
        <v>0</v>
      </c>
      <c r="AP20" s="25"/>
      <c r="AQ20" s="22">
        <f t="shared" ref="AQ20" si="195">((K20*1.25)*0.1)*AP20</f>
        <v>0</v>
      </c>
      <c r="AR20" s="25"/>
      <c r="AS20" s="22">
        <f t="shared" ref="AS20" si="196">((K20*2)*0.1)*AR20</f>
        <v>0</v>
      </c>
      <c r="AT20" s="25"/>
      <c r="AU20" s="22">
        <f t="shared" ref="AU20" si="197">((K20*2.6)*0.1)*AT20</f>
        <v>0</v>
      </c>
      <c r="AV20" s="25"/>
      <c r="AW20" s="22">
        <f t="shared" ref="AW20" si="198">((K20*3.38)*0.1)*AV20</f>
        <v>0</v>
      </c>
      <c r="AX20" s="25"/>
      <c r="AY20" s="22">
        <f t="shared" ref="AY20" si="199">((K20*1.3)*0.1)*AX20</f>
        <v>0</v>
      </c>
      <c r="AZ20" s="25"/>
      <c r="BA20" s="22">
        <f t="shared" ref="BA20" si="200">((K20*1.69)*0.1)*AZ20</f>
        <v>0</v>
      </c>
      <c r="BB20" s="25"/>
      <c r="BC20" s="22">
        <f t="shared" ref="BC20" si="201">((K20*1.5)*0.1)*BB20</f>
        <v>0</v>
      </c>
      <c r="BD20" s="25"/>
      <c r="BE20" s="22">
        <f t="shared" ref="BE20" si="202">((K20*1.95)*0.1)*BD20</f>
        <v>0</v>
      </c>
      <c r="BF20" s="22">
        <f t="shared" ref="BF20" si="203">AN20+AP20+AR20+AT20+AV20+AX20+AZ20+BB20+BD20</f>
        <v>0</v>
      </c>
      <c r="BG20" s="22">
        <f t="shared" ref="BG20" si="204">AO20+AQ20+AS20+AU20+AW20+AY20+BA20+BC20+BE20</f>
        <v>0</v>
      </c>
      <c r="BH20" s="25"/>
      <c r="BI20" s="21">
        <f>IFERROR(VLOOKUP(B20,'[1]Mar1 Payroll'!$B$9:$FJ$68,66,FALSE),)</f>
        <v>0</v>
      </c>
      <c r="BJ20" s="21">
        <f>IFERROR(VLOOKUP(B20,'[1]Mar1 Payroll'!$B$9:$FJ$68,67,FALSE),)</f>
        <v>0</v>
      </c>
      <c r="BK20" s="25"/>
      <c r="BL20" s="25"/>
      <c r="BM20" s="25"/>
      <c r="BN20" s="25"/>
      <c r="BO20" s="21">
        <f t="shared" ref="BO20" si="205">BI20+BK20-BM20</f>
        <v>0</v>
      </c>
      <c r="BP20" s="21">
        <f t="shared" ref="BP20" si="206">BJ20+BL20-BN20</f>
        <v>0</v>
      </c>
      <c r="BQ20" s="21">
        <f t="shared" ref="BQ20" si="207">IFERROR(IF(I20&gt;1,J20*BM20,),)</f>
        <v>0</v>
      </c>
      <c r="BR20" s="21">
        <f t="shared" ref="BR20" si="208">IFERROR(IF(I20&gt;1,J20*BN20,),)</f>
        <v>0</v>
      </c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2">
        <f t="shared" ref="CC20" si="209">M20+O20+U20+AM20+BG20+BH20+BS20+BT20+BU20+BV20+BW20+BX20+BY20+CB20+BR20+BQ20</f>
        <v>4752</v>
      </c>
      <c r="CD20" s="25"/>
      <c r="CE20" s="22">
        <f t="shared" ref="CE20" si="210">-K20*CD20</f>
        <v>0</v>
      </c>
      <c r="CF20" s="34"/>
      <c r="CG20" s="21">
        <f t="shared" ref="CG20" si="211">-L20*CF20</f>
        <v>0</v>
      </c>
      <c r="CH20" s="25"/>
      <c r="CI20" s="22">
        <f t="shared" ref="CI20" si="212">-J20*CH20</f>
        <v>0</v>
      </c>
      <c r="CJ20" s="22">
        <f t="shared" ref="CJ20" si="213">CE20+CI20+CG20</f>
        <v>0</v>
      </c>
      <c r="CK20" s="35" t="str">
        <f>_xlfn.IFNA(VLOOKUP(B20,'[1]201'!$E$7:$H$66,2,FALSE),"")</f>
        <v/>
      </c>
      <c r="CL20" s="35" t="str">
        <f>_xlfn.IFNA(VLOOKUP(B20,'[1]201'!$E$7:$H$66,3,FALSE),"")</f>
        <v/>
      </c>
      <c r="CM20" s="35" t="str">
        <f>_xlfn.IFNA(VLOOKUP(B20,'[1]201'!$E$7:$H$66,4,FALSE),"")</f>
        <v/>
      </c>
      <c r="CN20" s="22">
        <f>_xlfn.IFNA(IF(CK20=0,0,IF($CN$8=1,-VLOOKUP(G20,[1]!SSSW[#Data],7,TRUE),0)),0)</f>
        <v>0</v>
      </c>
      <c r="CO20" s="22">
        <f>_xlfn.IFNA(IF(CK20=0,0,IF($CO$8=1,-VLOOKUP(M20,[1]!SSSW[#Data],7,TRUE),0)),0)</f>
        <v>0</v>
      </c>
      <c r="CP20" s="22">
        <f>_xlfn.IFNA(IF(CK20=0,0,IF($CP$8=1,-VLOOKUP(CC20+IFERROR(VLOOKUP(B20,'[1]Mar1 Payroll'!$B$9:$FJ$68,80,FALSE),),[1]!SSSW[#Data],7,TRUE),0)),0)</f>
        <v>0</v>
      </c>
      <c r="CQ20" s="22">
        <f>_xlfn.IFNA(IF(CK20=0,0,IF($CQ$8=1,-VLOOKUP(CC20,[1]!SSSW[#Data],7,TRUE),0)),0)</f>
        <v>0</v>
      </c>
      <c r="CR20" s="22">
        <f>IFERROR(IF(CQ20&lt;0,-VLOOKUP(CC20+IFERROR(VLOOKUP(B20,'[1]Mar1 Payroll'!$B$9:$FJ$68,80,FALSE),),[1]!SSSW[#Data],13,TRUE),IF(CP20&lt;0,-VLOOKUP(CC20+IFERROR(VLOOKUP(B20,'[1]Mar1 Payroll'!$B$9:$FJ$68,80,FALSE),),[1]!SSSW[#Data],13,TRUE),IF(CO20&lt;0,-VLOOKUP(G20,[1]!SSSW[#Data],13,TRUE),IF(CN20&lt;0,-VLOOKUP(G20,[1]!SSSW[#Data],13,TRUE),)))),)</f>
        <v>0</v>
      </c>
      <c r="CS20" s="22">
        <f t="shared" ref="CS20" si="214">CN20+CO20+CP20+CQ20+CR20</f>
        <v>0</v>
      </c>
      <c r="CT20" s="22">
        <f>IFERROR(IF(CN20&lt;0,-VLOOKUP(G20,[1]!SSSW[#Data],15,TRUE),IF(CQ20&lt;0,(-VLOOKUP(CC20,[1]!SSSW[#Data],15,TRUE)),IF(CP20&lt;0,-VLOOKUP(CC20+IFERROR(VLOOKUP(B20,'[1]Mar1 Payroll'!$B$9:$FJ$68,80,FALSE),),[1]!SSSW[#Data],15,TRUE),IF(CO20&lt;0,(-VLOOKUP(M20,[1]!SSSW[#Data],15,TRUE)),)))),)</f>
        <v>0</v>
      </c>
      <c r="CU20" s="22">
        <f t="shared" ref="CU20" si="215">IFERROR(-IF(M20=0,0,IF($CU$8=1,IF(CL20&gt;1,IF(M20&gt;30000,900,IF(M20&lt;=5000,150,IF(M20&gt;5000,M20*0.03)))))),)</f>
        <v>0</v>
      </c>
      <c r="CV20" s="22">
        <f t="shared" ref="CV20" si="216">IFERROR(-IF(M20=0,0,IF($CV$8=1,IF(CL20&gt;1,IF(M20&gt;30000,450,IF(M20&lt;=5000,75,IF(M20&gt;5000,((M20*0.03)/2))))))),)</f>
        <v>0</v>
      </c>
      <c r="CW20" s="22">
        <f t="shared" ref="CW20" si="217">IFERROR(-IF(M20=0,0,IF($CW$8=1,IF(CM20&gt;1,100,0),"")),0)</f>
        <v>0</v>
      </c>
      <c r="CX20" s="22">
        <f t="shared" ref="CX20" si="218">IFERROR(-IF(M20=0,0,IF($CX$8=1,IF(CM20&gt;1,50,0),"")),0)</f>
        <v>0</v>
      </c>
      <c r="CY20" s="22">
        <f t="shared" ref="CY20" si="219">CS20+CU20+CV20+CW20+CX20</f>
        <v>0</v>
      </c>
      <c r="CZ20" s="25"/>
      <c r="DA20" s="25"/>
      <c r="DB20" s="25"/>
      <c r="DC20" s="22">
        <f t="shared" ref="DC20" si="220">CZ20+DA20+DB20</f>
        <v>0</v>
      </c>
      <c r="DD20" s="25"/>
      <c r="DE20" s="25"/>
      <c r="DF20" s="25"/>
      <c r="DG20" s="25"/>
      <c r="DH20" s="22">
        <f t="shared" ref="DH20" si="221">DD20+DE20+DF20+DG20</f>
        <v>0</v>
      </c>
      <c r="DI20" s="34"/>
      <c r="DJ20" s="34"/>
      <c r="DK20" s="34"/>
      <c r="DL20" s="34"/>
      <c r="DM20" s="34"/>
      <c r="DN20" s="34"/>
      <c r="DO20" s="21">
        <f t="shared" ref="DO20" si="222">DI20+DJ20+DK20+DL20+DM20+DN20</f>
        <v>0</v>
      </c>
      <c r="DP20" s="34"/>
      <c r="DQ20" s="34"/>
      <c r="DR20" s="25"/>
      <c r="DS20" s="22">
        <f t="shared" ref="DS20" si="223">CJ20+CY20+DC20+DH20+DO20+DP20+DQ20+DR20</f>
        <v>0</v>
      </c>
      <c r="DT20" s="22">
        <f t="shared" ref="DT20" si="224">CC20+DS20</f>
        <v>4752</v>
      </c>
      <c r="DU20" s="22">
        <f t="shared" ref="DU20" si="225">M20+O20+U20+AM20+BG20+CY20</f>
        <v>4752</v>
      </c>
      <c r="DV20" s="25">
        <f t="shared" ref="DV20" si="226">-IF($DV$8=1,IF(M20&lt;10417,0,IF(M20&lt;16667,((M20-10417)*0.2),IF(M20&lt;33333,((M20-16667)*0.25)+1250,IF(M20&lt;83333,((M20-33333)*0.3)+5416.67,IF(M20&lt;333333,((M20-83333)*0.32)+20416.67,((M20-333333)*0.35)+100416.67))))),0)</f>
        <v>0</v>
      </c>
      <c r="DW20" s="22">
        <f t="shared" ref="DW20" si="227">-IF($DW$8=1,IF(DU20&lt;10417,0,IF(DU20&lt;16667,((DU20-10417)*0.2),IF(DU20&lt;33333,((DU20-16667)*0.25)+1250,IF(DU20&lt;83333,((DU20-33333)*0.3)+5416.67,IF(DU20&lt;333333,((DU20-83333)*0.32)+20416.67,((DU20-333333)*0.35)+100416.67))))),0)</f>
        <v>0</v>
      </c>
      <c r="DX20" s="25">
        <f t="shared" ref="DX20" si="228">-IF($DX$8=1,IF(DT20&lt;10417,0,IF(DT20&lt;16667,((DT20-10417)*0.2),IF(DT20&lt;33333,((DT20-16667)*0.25)+1250,IF(DT20&lt;83333,((DT20-33333)*0.3)+5416.67,IF(DT20&lt;333333,((DT20-83333)*0.32)+20416.67,((DT20-333333)*0.35)+100416.67))))),0)</f>
        <v>0</v>
      </c>
      <c r="DY20" s="22">
        <f t="shared" ref="DY20" si="229">DT20+DV20+DW20+DX20</f>
        <v>4752</v>
      </c>
      <c r="DZ20" s="26">
        <f t="shared" ref="DZ20" si="230">((M20+O20+U20+AM20+BG20)+(CJ20))/24</f>
        <v>198</v>
      </c>
      <c r="EA20"/>
      <c r="EB20" s="27">
        <f>IFERROR(M20+IFERROR(VLOOKUP(B20,'[1]Mar1 Payroll'!$B$9:$FJ$68,131,FALSE),),0)</f>
        <v>3960</v>
      </c>
      <c r="EC20" s="27">
        <f>IFERROR(O20+U20+AM20+BG20+BH20+IFERROR(VLOOKUP(B20,'[1]Mar1 Payroll'!$B$9:$FJ$68,132,FALSE),),)</f>
        <v>792</v>
      </c>
      <c r="ED20" s="27">
        <f t="array" ref="ED20">IFERROR(IF(BT20+BX20+BZ20+CA20+CB20+DZ20+IFERROR(SUM(VLOOKUP(B20,'[1]Mar1 Payroll'!$B$9:$FJ$68,{133,137,140,141,144,146,147,148},FALSE)),)&gt;90000,DZ20+IFERROR(SUM(VLOOKUP(B20,'[1]Mar1 Payroll'!$B$9:$FJ$68,{133,144},FALSE)),),IF(BT20+BX20+BZ20+CA20+CB20+DZ20+IFERROR(SUM(VLOOKUP(B20,'[1]Mar1 Payroll'!$B$9:$EK$68,{133,137,140,141,144,146,147,148},FALSE)),)&lt;90000,0,0)),0)</f>
        <v>0</v>
      </c>
      <c r="EE20" s="27">
        <f>IFERROR(BS20+IFERROR(VLOOKUP(B20,'[1]Mar1 Payroll'!$B$9:$FJ$68,134,FALSE),),0)</f>
        <v>0</v>
      </c>
      <c r="EF20" s="27">
        <f>IFERROR(BQ20+IFERROR(VLOOKUP(B20,'[1]Mar1 Payroll'!$B$9:$FJ$68,135,FALSE),),0)</f>
        <v>0</v>
      </c>
      <c r="EG20" s="27">
        <f>IFERROR(BR20+IFERROR(VLOOKUP(B20,'[1]Mar1 Payroll'!$B$9:$FJ$68,136,FALSE),),0)</f>
        <v>0</v>
      </c>
      <c r="EH20" s="27">
        <f t="array" ref="EH20">IFERROR(IF(BT20+BX20+BZ20+CA20+CB20+DZ20+IFERROR(SUM(VLOOKUP(B20,'[1]Mar1 Payroll'!$B$9:$FJ$68,{133,137,140,141,144,146,147,148},FALSE)),)&gt;90000,BT20+IFERROR(SUM(VLOOKUP(B20,'[1]Mar1 Payroll'!$B$9:$FJ$68,{137,147},FALSE)),),IF(BT20+BX20+BZ20+CA20+CB20+DZ20+IFERROR(SUM(VLOOKUP(B20,'[1]Mar1 Payroll'!$B$9:$EK$68,{133,137,140,141,144,146,147,148},FALSE)),)&lt;90000,0,0)),0)</f>
        <v>0</v>
      </c>
      <c r="EI20" s="27">
        <f>IFERROR(BU20+IFERROR(VLOOKUP(B20,'[1]Mar1 Payroll'!$B$9:$FJ$68,138,FALSE),),0)</f>
        <v>0</v>
      </c>
      <c r="EJ20" s="27">
        <f>IFERROR(BV20+IFERROR(VLOOKUP(B20,'[1]Mar1 Payroll'!$B$9:$FJ$68,139,FALSE),),0)</f>
        <v>0</v>
      </c>
      <c r="EK20" s="27">
        <f t="array" ref="EK20">IFERROR(IF(BT20+BX20+BZ20+CA20+CB20+DZ20+IFERROR(SUM(VLOOKUP(B20,'[1]Mar1 Payroll'!$B$9:$FJ$68,{133,137,140,141,144,146,147,148},FALSE)),)&gt;90000,BX20+IFERROR(SUM(VLOOKUP(B20,'[1]Mar1 Payroll'!$B$9:$FJ$68,{140,146},FALSE)),),IF(BT20+BX20+BZ20+CA20+CB20+DZ20+IFERROR(SUM(VLOOKUP(B20,'[1]Mar1 Payroll'!$B$9:$EK$68,{133,137,140,141,144,146,147,148},FALSE)),)&lt;90000,0,0)),0)</f>
        <v>0</v>
      </c>
      <c r="EL20" s="27">
        <f t="array" ref="EL20">IFERROR(IF(BT20+BX20+BZ20+CA20+CB20+DZ20+IFERROR(SUM(VLOOKUP(B20,'[1]Mar1 Payroll'!$B$9:$FJ$68,{133,137,140,141,144,146,147,148},FALSE)),)&gt;90000,BZ20+CA20+CB20+IFERROR(SUM(VLOOKUP(B20,'[1]Mar1 Payroll'!$B$9:$FJ$68,{141,148},FALSE)),),IF(BT20+BX20+BZ20+CA20+CB20+DZ20+IFERROR(SUM(VLOOKUP(B20,'[1]Mar1 Payroll'!$B$9:$EK$68,{133,137,140,141,144,146,147,148},FALSE)),)&lt;90000,0,0)),0)</f>
        <v>0</v>
      </c>
      <c r="EM20" s="27">
        <f t="shared" ref="EM20" si="231">IF(ED20+EH20+EK20+EL20&gt;90000,(ED20+EH20+EL20+EK20)-90000,0)</f>
        <v>0</v>
      </c>
      <c r="EN20" s="27">
        <f t="shared" ref="EN20" si="232">SUM(EE20:EL20)</f>
        <v>0</v>
      </c>
      <c r="EO20" s="27">
        <f t="array" ref="EO20">IFERROR(IF(BT20+BX20+BZ20+CA20+CB20+DZ20+IFERROR(SUM(VLOOKUP(B20,'[1]Mar1 Payroll'!$B$9:$FJ$68,{133,137,140,141,144,146,147,148},FALSE)),)&gt;90000,0,IF(BT20+BX20+BZ20+CA20+CB20+DZ20+IFERROR(SUM(VLOOKUP(B20,'[1]Mar1 Payroll'!$B$9:$EK$68,{133,137,140,141,144,146,147,148},FALSE)),)&lt;90000,DZ20+IFERROR(SUM(VLOOKUP(B20,'[1]Mar1 Payroll'!$B$9:$FJ$68,{133,144},FALSE)),),)),)</f>
        <v>198</v>
      </c>
      <c r="EP20" s="27">
        <f>IFERROR(BY20+IFERROR(VLOOKUP(B20,'[1]Mar1 Payroll'!$B$9:$FJ$68,145,FALSE),),0)</f>
        <v>0</v>
      </c>
      <c r="EQ20" s="27">
        <f t="array" ref="EQ20">IFERROR(IF(BT20+BX20+BZ20+CA20+CB20+DZ20+IFERROR(SUM(VLOOKUP(B20,'[1]Mar1 Payroll'!$B$9:$FJ$68,{133,137,140,141,144,146,147,148},FALSE)),)&gt;90000,0,IF(BT20+BX20+BZ20+CA20+CB20+DZ20+IFERROR(SUM(VLOOKUP(B20,'[1]Mar1 Payroll'!$B$9:$EK$68,{133,137,140,141,144,146,147,148},FALSE)),)&lt;90000,BX20+IFERROR(SUM(VLOOKUP(B20,'[1]Mar1 Payroll'!$B$9:$FJ$68,{140,146},FALSE)),))),0)</f>
        <v>0</v>
      </c>
      <c r="ER20" s="27">
        <f t="array" ref="ER20">IFERROR(IF(BT20+BX20+BZ20+CA20+CB20+DZ20+IFERROR(SUM(VLOOKUP(B20,'[1]Mar1 Payroll'!$B$9:$FJ$68,{133,137,140,141,144,146,147,148},FALSE)),)&gt;90000,0,IF(BT20+BX20+BZ20+CA20+CB20+DZ20+IFERROR(SUM(VLOOKUP(B20,'[1]Mar1 Payroll'!$B$9:$EK$68,{133,137,140,141,144,146,147,148},FALSE)),)&lt;90000,BT20+IFERROR(SUM(VLOOKUP(B20,'[1]Mar1 Payroll'!$B$9:$FJ$68,{137,147},FALSE)),))),0)</f>
        <v>0</v>
      </c>
      <c r="ES20" s="27">
        <f t="array" ref="ES20">IFERROR(IF(BT20+BX20+BZ20+CA20+CB20+DZ20+IFERROR(SUM(VLOOKUP(B20,'[1]Mar1 Payroll'!$B$9:$FJ$68,{133,137,140,141,144,146,147,148},FALSE)),)&gt;90000,0,IF(BT20+BX20+BZ20+CA20+CB20+DZ20+IFERROR(SUM(VLOOKUP(B20,'[1]Mar1 Payroll'!$B$9:$EK$68,{133,137,140,141,144,146,147,148},FALSE)),)&lt;90000,BZ20+CA20+CB20+IFERROR(SUM(VLOOKUP(B20,'[1]Mar1 Payroll'!$B$9:$FJ$68,{141,148},FALSE)),))),0)</f>
        <v>0</v>
      </c>
      <c r="ET20" s="27">
        <f t="shared" ref="ET20" si="233">SUM(EP20:ES20)</f>
        <v>0</v>
      </c>
      <c r="EU20" s="27">
        <f t="shared" ref="EU20" si="234">EB20+EC20+EN20+ET20</f>
        <v>4752</v>
      </c>
      <c r="EV20" s="27">
        <f>IFERROR(DV20+DW20+DX20+IFERROR(VLOOKUP(B20,'[1]Mar1 Payroll'!$B$9:$FJ$68,151,FALSE),),0)</f>
        <v>0</v>
      </c>
      <c r="EW20" s="27">
        <f>IFERROR(CS20+IFERROR(VLOOKUP(B20,'[1]Mar1 Payroll'!$B$9:$FJ$68,152,FALSE),),0)</f>
        <v>0</v>
      </c>
      <c r="EX20" s="27">
        <f>IFERROR(CU20+CV20+IFERROR(VLOOKUP(B20,'[1]Mar1 Payroll'!$B$9:$FJ$68,153,FALSE),),0)</f>
        <v>0</v>
      </c>
      <c r="EY20" s="27">
        <f>IFERROR(CW20+CX20+IFERROR(VLOOKUP(B20,'[1]Mar1 Payroll'!$B$9:$FJ$68,154,FALSE),),0)</f>
        <v>0</v>
      </c>
      <c r="EZ20" s="27">
        <f>IFERROR(CJ20+IFERROR(VLOOKUP(B20,'[1]Mar1 Payroll'!$B$9:$FJ$68,155,FALSE),),0)</f>
        <v>0</v>
      </c>
      <c r="FA20" s="27">
        <f>IFERROR(DP20+DQ20+DR20+IFERROR(VLOOKUP(B20,'[1]Mar1 Payroll'!$B$9:$FJ$68,156,FALSE),),0)</f>
        <v>0</v>
      </c>
      <c r="FB20" s="27">
        <f>IFERROR(CZ20+IFERROR(VLOOKUP(B20,'[1]Mar1 Payroll'!$B$9:$FJ$68,157,FALSE),),0)</f>
        <v>0</v>
      </c>
      <c r="FC20" s="27">
        <f>IFERROR(DA20+IFERROR(VLOOKUP(B20,'[1]Mar1 Payroll'!$B$9:$FJ$68,158,FALSE),),0)</f>
        <v>0</v>
      </c>
      <c r="FD20" s="27">
        <f>IFERROR(DB20+IFERROR(VLOOKUP(B20,'[1]Mar1 Payroll'!$B$9:$FJ$68,159,FALSE),),0)</f>
        <v>0</v>
      </c>
      <c r="FE20" s="27">
        <f>IFERROR(DD20+IFERROR(VLOOKUP(B20,'[1]Mar1 Payroll'!$B$9:$FJ$68,160,FALSE),),0)</f>
        <v>0</v>
      </c>
      <c r="FF20" s="27">
        <f>IFERROR(DE20+IFERROR(VLOOKUP(B20,'[1]Mar1 Payroll'!$B$9:$FJ$68,161,FALSE),),0)</f>
        <v>0</v>
      </c>
      <c r="FG20" s="27">
        <f>IFERROR(DF20+IFERROR(VLOOKUP(B20,'[1]Mar1 Payroll'!$B$9:$FJ$68,162,FALSE),),0)</f>
        <v>0</v>
      </c>
      <c r="FH20" s="27">
        <f>IFERROR(DG20+IFERROR(VLOOKUP(B20,'[1]Mar1 Payroll'!$B$9:$FJ$68,163,FALSE),),0)</f>
        <v>0</v>
      </c>
      <c r="FI20" s="27">
        <f t="shared" ref="FI20" si="235">SUM(EV20:FD20)</f>
        <v>0</v>
      </c>
      <c r="FJ20" s="28">
        <f t="shared" ref="FJ20" si="236">EU20+FI20</f>
        <v>4752</v>
      </c>
      <c r="FK20" s="5"/>
      <c r="FM20" s="29">
        <f t="shared" ref="FM20" si="237">EB20</f>
        <v>3960</v>
      </c>
      <c r="FN20" s="30">
        <f t="shared" ref="FN20" si="238">EC20</f>
        <v>792</v>
      </c>
      <c r="FO20" s="30">
        <f t="shared" ref="FO20" si="239">IFERROR(IF(FZ20+GB20+GC20+GD20=90000,ED20-FZ20,),)</f>
        <v>0</v>
      </c>
      <c r="FP20" s="30">
        <f t="shared" ref="FP20" si="240">EE20</f>
        <v>0</v>
      </c>
      <c r="FQ20" s="30">
        <f t="shared" ref="FQ20" si="241">EF20</f>
        <v>0</v>
      </c>
      <c r="FR20" s="30">
        <f t="shared" ref="FR20" si="242">EG20</f>
        <v>0</v>
      </c>
      <c r="FS20" s="30">
        <f t="shared" ref="FS20" si="243">IFERROR(IF(FZ20+GB20+GC20+GD20=90000,EH20-GC20,),)</f>
        <v>0</v>
      </c>
      <c r="FT20" s="30">
        <f t="shared" ref="FT20" si="244">EI20</f>
        <v>0</v>
      </c>
      <c r="FU20" s="30">
        <f t="shared" ref="FU20" si="245">EJ20</f>
        <v>0</v>
      </c>
      <c r="FV20" s="30">
        <f t="shared" ref="FV20" si="246">IFERROR(IF(FZ20+GB20+GC20+GD20=90000,EK20-GB20,),)</f>
        <v>0</v>
      </c>
      <c r="FW20" s="30">
        <f t="shared" ref="FW20" si="247">IFERROR(IF(FZ20+GB20+GC20+GD20=90000,EL20-GD20,),)</f>
        <v>0</v>
      </c>
      <c r="FX20" s="30">
        <f t="shared" ref="FX20" si="248">FO20+FS20+FV20+FW20</f>
        <v>0</v>
      </c>
      <c r="FY20" s="30">
        <f t="shared" ref="FY20" si="249">SUM(FP20:FW20)</f>
        <v>0</v>
      </c>
      <c r="FZ20" s="30">
        <f t="shared" ref="FZ20" si="250">IFERROR(EO20+IFERROR((ED20*(90000/(ED20+EH20+EK20+EL20))),),)</f>
        <v>198</v>
      </c>
      <c r="GA20" s="30">
        <f t="shared" ref="GA20" si="251">EP20</f>
        <v>0</v>
      </c>
      <c r="GB20" s="30">
        <f t="shared" ref="GB20" si="252">IFERROR(EQ20+IFERROR((EK20*(90000/(ED20+EH20+EK20+EL20))),),)</f>
        <v>0</v>
      </c>
      <c r="GC20" s="30">
        <f t="shared" ref="GC20" si="253">IFERROR(ER20+IFERROR((EH20*(90000/(ED20+EH20+EK20+EL20))),),)</f>
        <v>0</v>
      </c>
      <c r="GD20" s="30">
        <f t="shared" ref="GD20" si="254">IFERROR(ES20+IFERROR((EL20*(90000/ED20+EH20+EK20+EL20)),),)</f>
        <v>0</v>
      </c>
      <c r="GE20" s="30">
        <f t="shared" ref="GE20" si="255">SUM(GA20:GD20)</f>
        <v>0</v>
      </c>
      <c r="GF20" s="30">
        <f t="shared" ref="GF20" si="256">FM20+FN20+FY20+GE20</f>
        <v>4752</v>
      </c>
      <c r="GG20" s="30">
        <f t="shared" ref="GG20" si="257">EV20</f>
        <v>0</v>
      </c>
      <c r="GH20" s="30">
        <f t="shared" ref="GH20" si="258">EW20</f>
        <v>0</v>
      </c>
      <c r="GI20" s="30">
        <f t="shared" ref="GI20" si="259">EX20</f>
        <v>0</v>
      </c>
      <c r="GJ20" s="30">
        <f t="shared" ref="GJ20" si="260">EY20</f>
        <v>0</v>
      </c>
      <c r="GK20" s="30">
        <f t="shared" ref="GK20" si="261">EZ20</f>
        <v>0</v>
      </c>
      <c r="GL20" s="30">
        <f t="shared" ref="GL20" si="262">FA20</f>
        <v>0</v>
      </c>
      <c r="GM20" s="30">
        <f t="shared" ref="GM20" si="263">FB20</f>
        <v>0</v>
      </c>
      <c r="GN20" s="30">
        <f t="shared" ref="GN20" si="264">FC20</f>
        <v>0</v>
      </c>
      <c r="GO20" s="30">
        <f t="shared" ref="GO20" si="265">FD20</f>
        <v>0</v>
      </c>
      <c r="GP20" s="30">
        <f t="shared" ref="GP20" si="266">FE20</f>
        <v>0</v>
      </c>
      <c r="GQ20" s="30">
        <f t="shared" ref="GQ20" si="267">FF20</f>
        <v>0</v>
      </c>
      <c r="GR20" s="30">
        <f t="shared" ref="GR20" si="268">FG20</f>
        <v>0</v>
      </c>
      <c r="GS20" s="30">
        <f t="shared" ref="GS20" si="269">FH20</f>
        <v>0</v>
      </c>
      <c r="GT20" s="30">
        <f t="shared" ref="GT20" si="270">SUM(GG20:GS20)</f>
        <v>0</v>
      </c>
      <c r="GU20" s="31">
        <f t="shared" ref="GU20" si="271">GF20+GT20</f>
        <v>4752</v>
      </c>
    </row>
    <row r="21" spans="1:205" ht="12.75" x14ac:dyDescent="0.2">
      <c r="G21" s="36">
        <f t="shared" ref="G21:AL21" si="272">SUM(G9:G20)</f>
        <v>125960</v>
      </c>
      <c r="H21" s="36">
        <f t="shared" si="272"/>
        <v>47536</v>
      </c>
      <c r="I21" s="36">
        <f t="shared" si="272"/>
        <v>29.5</v>
      </c>
      <c r="J21" s="36">
        <f t="shared" si="272"/>
        <v>4844.6153846153848</v>
      </c>
      <c r="K21" s="36">
        <f t="shared" si="272"/>
        <v>605.57692307692309</v>
      </c>
      <c r="L21" s="36">
        <f t="shared" si="272"/>
        <v>10.092948717948717</v>
      </c>
      <c r="M21" s="36">
        <f t="shared" si="272"/>
        <v>59218</v>
      </c>
      <c r="N21" s="36">
        <f t="shared" si="272"/>
        <v>0</v>
      </c>
      <c r="O21" s="36">
        <f t="shared" si="272"/>
        <v>0</v>
      </c>
      <c r="P21" s="36">
        <f t="shared" si="272"/>
        <v>0</v>
      </c>
      <c r="Q21" s="36">
        <f t="shared" si="272"/>
        <v>0</v>
      </c>
      <c r="R21" s="36">
        <f t="shared" si="272"/>
        <v>0</v>
      </c>
      <c r="S21" s="36">
        <f t="shared" si="272"/>
        <v>0</v>
      </c>
      <c r="T21" s="36">
        <f t="shared" si="272"/>
        <v>0</v>
      </c>
      <c r="U21" s="36">
        <f t="shared" si="272"/>
        <v>0</v>
      </c>
      <c r="V21" s="36">
        <f t="shared" si="272"/>
        <v>0</v>
      </c>
      <c r="W21" s="36">
        <f t="shared" si="272"/>
        <v>0</v>
      </c>
      <c r="X21" s="36">
        <f t="shared" si="272"/>
        <v>0</v>
      </c>
      <c r="Y21" s="36">
        <f t="shared" si="272"/>
        <v>0</v>
      </c>
      <c r="Z21" s="36">
        <f t="shared" si="272"/>
        <v>0</v>
      </c>
      <c r="AA21" s="36">
        <f t="shared" si="272"/>
        <v>0</v>
      </c>
      <c r="AB21" s="36">
        <f t="shared" si="272"/>
        <v>0</v>
      </c>
      <c r="AC21" s="36">
        <f t="shared" si="272"/>
        <v>0</v>
      </c>
      <c r="AD21" s="36">
        <f t="shared" si="272"/>
        <v>48</v>
      </c>
      <c r="AE21" s="36">
        <f t="shared" si="272"/>
        <v>2376</v>
      </c>
      <c r="AF21" s="36">
        <f t="shared" si="272"/>
        <v>0</v>
      </c>
      <c r="AG21" s="36">
        <f t="shared" si="272"/>
        <v>0</v>
      </c>
      <c r="AH21" s="36">
        <f t="shared" si="272"/>
        <v>0</v>
      </c>
      <c r="AI21" s="36">
        <f t="shared" si="272"/>
        <v>0</v>
      </c>
      <c r="AJ21" s="36">
        <f t="shared" si="272"/>
        <v>0</v>
      </c>
      <c r="AK21" s="36">
        <f t="shared" si="272"/>
        <v>0</v>
      </c>
      <c r="AL21" s="36">
        <f t="shared" si="272"/>
        <v>48</v>
      </c>
      <c r="AM21" s="36">
        <f t="shared" ref="AM21:BR21" si="273">SUM(AM9:AM20)</f>
        <v>2376</v>
      </c>
      <c r="AN21" s="36">
        <f t="shared" si="273"/>
        <v>0</v>
      </c>
      <c r="AO21" s="36">
        <f t="shared" si="273"/>
        <v>0</v>
      </c>
      <c r="AP21" s="36">
        <f t="shared" si="273"/>
        <v>0</v>
      </c>
      <c r="AQ21" s="36">
        <f t="shared" si="273"/>
        <v>0</v>
      </c>
      <c r="AR21" s="36">
        <f t="shared" si="273"/>
        <v>0</v>
      </c>
      <c r="AS21" s="36">
        <f t="shared" si="273"/>
        <v>0</v>
      </c>
      <c r="AT21" s="36">
        <f t="shared" si="273"/>
        <v>0</v>
      </c>
      <c r="AU21" s="36">
        <f t="shared" si="273"/>
        <v>0</v>
      </c>
      <c r="AV21" s="36">
        <f t="shared" si="273"/>
        <v>0</v>
      </c>
      <c r="AW21" s="36">
        <f t="shared" si="273"/>
        <v>0</v>
      </c>
      <c r="AX21" s="36">
        <f t="shared" si="273"/>
        <v>0</v>
      </c>
      <c r="AY21" s="36">
        <f t="shared" si="273"/>
        <v>0</v>
      </c>
      <c r="AZ21" s="36">
        <f t="shared" si="273"/>
        <v>0</v>
      </c>
      <c r="BA21" s="36">
        <f t="shared" si="273"/>
        <v>0</v>
      </c>
      <c r="BB21" s="36">
        <f t="shared" si="273"/>
        <v>0</v>
      </c>
      <c r="BC21" s="36">
        <f t="shared" si="273"/>
        <v>0</v>
      </c>
      <c r="BD21" s="36">
        <f t="shared" si="273"/>
        <v>0</v>
      </c>
      <c r="BE21" s="36">
        <f t="shared" si="273"/>
        <v>0</v>
      </c>
      <c r="BF21" s="36">
        <f t="shared" si="273"/>
        <v>0</v>
      </c>
      <c r="BG21" s="36">
        <f t="shared" si="273"/>
        <v>0</v>
      </c>
      <c r="BH21" s="36">
        <f t="shared" si="273"/>
        <v>0</v>
      </c>
      <c r="BI21" s="36">
        <f t="shared" si="273"/>
        <v>0</v>
      </c>
      <c r="BJ21" s="36">
        <f t="shared" si="273"/>
        <v>0</v>
      </c>
      <c r="BK21" s="36">
        <f t="shared" si="273"/>
        <v>0</v>
      </c>
      <c r="BL21" s="36">
        <f t="shared" si="273"/>
        <v>0</v>
      </c>
      <c r="BM21" s="36">
        <f t="shared" si="273"/>
        <v>0</v>
      </c>
      <c r="BN21" s="36">
        <f t="shared" si="273"/>
        <v>0</v>
      </c>
      <c r="BO21" s="36">
        <f t="shared" si="273"/>
        <v>0</v>
      </c>
      <c r="BP21" s="36">
        <f t="shared" si="273"/>
        <v>0</v>
      </c>
      <c r="BQ21" s="36">
        <f t="shared" si="273"/>
        <v>0</v>
      </c>
      <c r="BR21" s="36">
        <f t="shared" si="273"/>
        <v>0</v>
      </c>
      <c r="BS21" s="36">
        <f t="shared" ref="BS21:CX21" si="274">SUM(BS9:BS20)</f>
        <v>0</v>
      </c>
      <c r="BT21" s="36">
        <f t="shared" si="274"/>
        <v>0</v>
      </c>
      <c r="BU21" s="36">
        <f t="shared" si="274"/>
        <v>0</v>
      </c>
      <c r="BV21" s="36">
        <f t="shared" si="274"/>
        <v>0</v>
      </c>
      <c r="BW21" s="36">
        <f t="shared" si="274"/>
        <v>0</v>
      </c>
      <c r="BX21" s="36">
        <f t="shared" si="274"/>
        <v>0</v>
      </c>
      <c r="BY21" s="36">
        <f t="shared" si="274"/>
        <v>0</v>
      </c>
      <c r="BZ21" s="36">
        <f t="shared" si="274"/>
        <v>0</v>
      </c>
      <c r="CA21" s="36">
        <f t="shared" si="274"/>
        <v>0</v>
      </c>
      <c r="CB21" s="36">
        <f t="shared" si="274"/>
        <v>0</v>
      </c>
      <c r="CC21" s="36">
        <f t="shared" si="274"/>
        <v>61594</v>
      </c>
      <c r="CD21" s="36">
        <f t="shared" si="274"/>
        <v>0</v>
      </c>
      <c r="CE21" s="36">
        <f t="shared" si="274"/>
        <v>0</v>
      </c>
      <c r="CF21" s="36">
        <f t="shared" si="274"/>
        <v>3</v>
      </c>
      <c r="CG21" s="36">
        <f t="shared" si="274"/>
        <v>-2.4749999999999996</v>
      </c>
      <c r="CH21" s="36">
        <f t="shared" si="274"/>
        <v>0</v>
      </c>
      <c r="CI21" s="36">
        <f t="shared" si="274"/>
        <v>0</v>
      </c>
      <c r="CJ21" s="36">
        <f t="shared" si="274"/>
        <v>-2.4749999999999996</v>
      </c>
      <c r="CK21" s="36">
        <f t="shared" si="274"/>
        <v>0</v>
      </c>
      <c r="CL21" s="36">
        <f t="shared" si="274"/>
        <v>0</v>
      </c>
      <c r="CM21" s="36">
        <f t="shared" si="274"/>
        <v>0</v>
      </c>
      <c r="CN21" s="36">
        <f t="shared" si="274"/>
        <v>0</v>
      </c>
      <c r="CO21" s="36">
        <f t="shared" si="274"/>
        <v>0</v>
      </c>
      <c r="CP21" s="36">
        <f t="shared" si="274"/>
        <v>0</v>
      </c>
      <c r="CQ21" s="36">
        <f t="shared" si="274"/>
        <v>0</v>
      </c>
      <c r="CR21" s="36">
        <f t="shared" si="274"/>
        <v>0</v>
      </c>
      <c r="CS21" s="36">
        <f t="shared" si="274"/>
        <v>0</v>
      </c>
      <c r="CT21" s="36">
        <f t="shared" si="274"/>
        <v>0</v>
      </c>
      <c r="CU21" s="36">
        <f t="shared" si="274"/>
        <v>0</v>
      </c>
      <c r="CV21" s="36">
        <f t="shared" si="274"/>
        <v>0</v>
      </c>
      <c r="CW21" s="36">
        <f t="shared" si="274"/>
        <v>0</v>
      </c>
      <c r="CX21" s="36">
        <f t="shared" si="274"/>
        <v>0</v>
      </c>
      <c r="CY21" s="36">
        <f t="shared" ref="CY21:ED21" si="275">SUM(CY9:CY20)</f>
        <v>0</v>
      </c>
      <c r="CZ21" s="36">
        <f t="shared" si="275"/>
        <v>0</v>
      </c>
      <c r="DA21" s="36">
        <f t="shared" si="275"/>
        <v>0</v>
      </c>
      <c r="DB21" s="36">
        <f t="shared" si="275"/>
        <v>0</v>
      </c>
      <c r="DC21" s="36">
        <f t="shared" si="275"/>
        <v>0</v>
      </c>
      <c r="DD21" s="36">
        <f t="shared" si="275"/>
        <v>0</v>
      </c>
      <c r="DE21" s="36">
        <f t="shared" si="275"/>
        <v>0</v>
      </c>
      <c r="DF21" s="36">
        <f t="shared" si="275"/>
        <v>0</v>
      </c>
      <c r="DG21" s="36">
        <f t="shared" si="275"/>
        <v>0</v>
      </c>
      <c r="DH21" s="36">
        <f t="shared" si="275"/>
        <v>0</v>
      </c>
      <c r="DI21" s="36">
        <f t="shared" si="275"/>
        <v>0</v>
      </c>
      <c r="DJ21" s="36">
        <f t="shared" si="275"/>
        <v>0</v>
      </c>
      <c r="DK21" s="36">
        <f t="shared" si="275"/>
        <v>0</v>
      </c>
      <c r="DL21" s="36">
        <f t="shared" si="275"/>
        <v>0</v>
      </c>
      <c r="DM21" s="36">
        <f t="shared" si="275"/>
        <v>0</v>
      </c>
      <c r="DN21" s="36">
        <f t="shared" si="275"/>
        <v>0</v>
      </c>
      <c r="DO21" s="36">
        <f t="shared" si="275"/>
        <v>0</v>
      </c>
      <c r="DP21" s="36">
        <f t="shared" si="275"/>
        <v>0</v>
      </c>
      <c r="DQ21" s="36">
        <f t="shared" si="275"/>
        <v>0</v>
      </c>
      <c r="DR21" s="36">
        <f t="shared" si="275"/>
        <v>0</v>
      </c>
      <c r="DS21" s="36">
        <f t="shared" si="275"/>
        <v>-2.4749999999999996</v>
      </c>
      <c r="DT21" s="36">
        <f t="shared" si="275"/>
        <v>61591.525000000001</v>
      </c>
      <c r="DU21" s="36">
        <f t="shared" si="275"/>
        <v>61594</v>
      </c>
      <c r="DV21" s="36">
        <f t="shared" si="275"/>
        <v>0</v>
      </c>
      <c r="DW21" s="36">
        <f t="shared" si="275"/>
        <v>0</v>
      </c>
      <c r="DX21" s="36">
        <f t="shared" si="275"/>
        <v>0</v>
      </c>
      <c r="DY21" s="36">
        <f t="shared" si="275"/>
        <v>61591.525000000001</v>
      </c>
      <c r="DZ21" s="36">
        <f t="shared" si="275"/>
        <v>2566.3135416666664</v>
      </c>
      <c r="EA21" s="36">
        <f t="shared" si="275"/>
        <v>0</v>
      </c>
      <c r="EB21" s="36">
        <f t="shared" si="275"/>
        <v>59218</v>
      </c>
      <c r="EC21" s="36">
        <f t="shared" si="275"/>
        <v>2376</v>
      </c>
      <c r="ED21" s="36">
        <f t="shared" si="275"/>
        <v>0</v>
      </c>
      <c r="EE21" s="36">
        <f t="shared" ref="EE21:FJ21" si="276">SUM(EE9:EE20)</f>
        <v>0</v>
      </c>
      <c r="EF21" s="36">
        <f t="shared" si="276"/>
        <v>0</v>
      </c>
      <c r="EG21" s="36">
        <f t="shared" si="276"/>
        <v>0</v>
      </c>
      <c r="EH21" s="36">
        <f t="shared" si="276"/>
        <v>0</v>
      </c>
      <c r="EI21" s="36">
        <f t="shared" si="276"/>
        <v>0</v>
      </c>
      <c r="EJ21" s="36">
        <f t="shared" si="276"/>
        <v>0</v>
      </c>
      <c r="EK21" s="36">
        <f t="shared" si="276"/>
        <v>0</v>
      </c>
      <c r="EL21" s="36">
        <f t="shared" si="276"/>
        <v>0</v>
      </c>
      <c r="EM21" s="36">
        <f t="shared" si="276"/>
        <v>0</v>
      </c>
      <c r="EN21" s="36">
        <f t="shared" si="276"/>
        <v>0</v>
      </c>
      <c r="EO21" s="36">
        <f t="shared" si="276"/>
        <v>2566.3135416666664</v>
      </c>
      <c r="EP21" s="36">
        <f t="shared" si="276"/>
        <v>0</v>
      </c>
      <c r="EQ21" s="36">
        <f t="shared" si="276"/>
        <v>0</v>
      </c>
      <c r="ER21" s="36">
        <f t="shared" si="276"/>
        <v>0</v>
      </c>
      <c r="ES21" s="36">
        <f t="shared" si="276"/>
        <v>0</v>
      </c>
      <c r="ET21" s="36">
        <f t="shared" si="276"/>
        <v>0</v>
      </c>
      <c r="EU21" s="36">
        <f t="shared" si="276"/>
        <v>61594</v>
      </c>
      <c r="EV21" s="36">
        <f t="shared" si="276"/>
        <v>0</v>
      </c>
      <c r="EW21" s="36">
        <f t="shared" si="276"/>
        <v>0</v>
      </c>
      <c r="EX21" s="36">
        <f t="shared" si="276"/>
        <v>0</v>
      </c>
      <c r="EY21" s="36">
        <f t="shared" si="276"/>
        <v>0</v>
      </c>
      <c r="EZ21" s="36">
        <f t="shared" si="276"/>
        <v>-2.4749999999999996</v>
      </c>
      <c r="FA21" s="36">
        <f t="shared" si="276"/>
        <v>0</v>
      </c>
      <c r="FB21" s="36">
        <f t="shared" si="276"/>
        <v>0</v>
      </c>
      <c r="FC21" s="36">
        <f t="shared" si="276"/>
        <v>0</v>
      </c>
      <c r="FD21" s="36">
        <f t="shared" si="276"/>
        <v>0</v>
      </c>
      <c r="FE21" s="36">
        <f t="shared" si="276"/>
        <v>0</v>
      </c>
      <c r="FF21" s="36">
        <f t="shared" si="276"/>
        <v>0</v>
      </c>
      <c r="FG21" s="36">
        <f t="shared" si="276"/>
        <v>0</v>
      </c>
      <c r="FH21" s="36">
        <f t="shared" si="276"/>
        <v>0</v>
      </c>
      <c r="FI21" s="36">
        <f t="shared" si="276"/>
        <v>-2.4749999999999996</v>
      </c>
      <c r="FJ21" s="36">
        <f t="shared" si="276"/>
        <v>61591.525000000001</v>
      </c>
      <c r="FK21" s="36">
        <f t="shared" ref="FK21:GP21" si="277">SUM(FK9:FK20)</f>
        <v>0</v>
      </c>
      <c r="FL21" s="36">
        <f t="shared" si="277"/>
        <v>0</v>
      </c>
      <c r="FM21" s="36">
        <f t="shared" si="277"/>
        <v>59218</v>
      </c>
      <c r="FN21" s="36">
        <f t="shared" si="277"/>
        <v>2376</v>
      </c>
      <c r="FO21" s="36">
        <f t="shared" si="277"/>
        <v>0</v>
      </c>
      <c r="FP21" s="36">
        <f t="shared" si="277"/>
        <v>0</v>
      </c>
      <c r="FQ21" s="36">
        <f t="shared" si="277"/>
        <v>0</v>
      </c>
      <c r="FR21" s="36">
        <f t="shared" si="277"/>
        <v>0</v>
      </c>
      <c r="FS21" s="36">
        <f t="shared" si="277"/>
        <v>0</v>
      </c>
      <c r="FT21" s="36">
        <f t="shared" si="277"/>
        <v>0</v>
      </c>
      <c r="FU21" s="36">
        <f t="shared" si="277"/>
        <v>0</v>
      </c>
      <c r="FV21" s="36">
        <f t="shared" si="277"/>
        <v>0</v>
      </c>
      <c r="FW21" s="36">
        <f t="shared" si="277"/>
        <v>0</v>
      </c>
      <c r="FX21" s="36">
        <f t="shared" si="277"/>
        <v>0</v>
      </c>
      <c r="FY21" s="36">
        <f t="shared" si="277"/>
        <v>0</v>
      </c>
      <c r="FZ21" s="36">
        <f t="shared" si="277"/>
        <v>2566.3135416666664</v>
      </c>
      <c r="GA21" s="36">
        <f t="shared" si="277"/>
        <v>0</v>
      </c>
      <c r="GB21" s="36">
        <f t="shared" si="277"/>
        <v>0</v>
      </c>
      <c r="GC21" s="36">
        <f t="shared" si="277"/>
        <v>0</v>
      </c>
      <c r="GD21" s="36">
        <f t="shared" si="277"/>
        <v>0</v>
      </c>
      <c r="GE21" s="36">
        <f t="shared" si="277"/>
        <v>0</v>
      </c>
      <c r="GF21" s="36">
        <f t="shared" si="277"/>
        <v>61594</v>
      </c>
      <c r="GG21" s="36">
        <f t="shared" si="277"/>
        <v>0</v>
      </c>
      <c r="GH21" s="36">
        <f t="shared" si="277"/>
        <v>0</v>
      </c>
      <c r="GI21" s="36">
        <f t="shared" si="277"/>
        <v>0</v>
      </c>
      <c r="GJ21" s="36">
        <f t="shared" si="277"/>
        <v>0</v>
      </c>
      <c r="GK21" s="36">
        <f t="shared" si="277"/>
        <v>-2.4749999999999996</v>
      </c>
      <c r="GL21" s="36">
        <f t="shared" si="277"/>
        <v>0</v>
      </c>
      <c r="GM21" s="36">
        <f t="shared" si="277"/>
        <v>0</v>
      </c>
      <c r="GN21" s="36">
        <f t="shared" si="277"/>
        <v>0</v>
      </c>
      <c r="GO21" s="36">
        <f t="shared" si="277"/>
        <v>0</v>
      </c>
      <c r="GP21" s="36">
        <f t="shared" si="277"/>
        <v>0</v>
      </c>
      <c r="GQ21" s="36">
        <f t="shared" ref="GQ21:GW21" si="278">SUM(GQ9:GQ20)</f>
        <v>0</v>
      </c>
      <c r="GR21" s="36">
        <f t="shared" si="278"/>
        <v>0</v>
      </c>
      <c r="GS21" s="36">
        <f t="shared" si="278"/>
        <v>0</v>
      </c>
      <c r="GT21" s="36">
        <f t="shared" si="278"/>
        <v>-2.4749999999999996</v>
      </c>
      <c r="GU21" s="36">
        <f t="shared" si="278"/>
        <v>61591.525000000001</v>
      </c>
      <c r="GV21" s="36">
        <f t="shared" si="278"/>
        <v>0</v>
      </c>
      <c r="GW21" s="36">
        <f t="shared" si="278"/>
        <v>0</v>
      </c>
    </row>
  </sheetData>
  <mergeCells count="81">
    <mergeCell ref="GM7:GS7"/>
    <mergeCell ref="EV7:FA7"/>
    <mergeCell ref="FB7:FH7"/>
    <mergeCell ref="FO7:FW7"/>
    <mergeCell ref="FX7:FX8"/>
    <mergeCell ref="FZ7:GD7"/>
    <mergeCell ref="GG7:GL7"/>
    <mergeCell ref="EO7:ES7"/>
    <mergeCell ref="DO7:DO8"/>
    <mergeCell ref="DP7:DP8"/>
    <mergeCell ref="DQ7:DQ8"/>
    <mergeCell ref="DR7:DR8"/>
    <mergeCell ref="DS7:DS8"/>
    <mergeCell ref="DT7:DT8"/>
    <mergeCell ref="DU7:DU8"/>
    <mergeCell ref="DY7:DY8"/>
    <mergeCell ref="DZ7:DZ8"/>
    <mergeCell ref="ED7:EL7"/>
    <mergeCell ref="EM7:EM8"/>
    <mergeCell ref="DI7:DN7"/>
    <mergeCell ref="CD7:CE7"/>
    <mergeCell ref="CF7:CG7"/>
    <mergeCell ref="CH7:CI7"/>
    <mergeCell ref="CJ7:CJ8"/>
    <mergeCell ref="CK7:CM7"/>
    <mergeCell ref="CR7:CR8"/>
    <mergeCell ref="CS7:CS8"/>
    <mergeCell ref="CT7:CT8"/>
    <mergeCell ref="CY7:CY8"/>
    <mergeCell ref="CZ7:DB7"/>
    <mergeCell ref="DD7:DG7"/>
    <mergeCell ref="CC7:CC8"/>
    <mergeCell ref="BQ7:BR7"/>
    <mergeCell ref="BS7:BS8"/>
    <mergeCell ref="BT7:BT8"/>
    <mergeCell ref="BU7:BU8"/>
    <mergeCell ref="BV7:BV8"/>
    <mergeCell ref="BW7:BW8"/>
    <mergeCell ref="BX7:BX8"/>
    <mergeCell ref="BY7:BY8"/>
    <mergeCell ref="BZ7:BZ8"/>
    <mergeCell ref="CA7:CA8"/>
    <mergeCell ref="CB7:CB8"/>
    <mergeCell ref="BO7:BP7"/>
    <mergeCell ref="AR7:AS7"/>
    <mergeCell ref="AT7:AU7"/>
    <mergeCell ref="AV7:AW7"/>
    <mergeCell ref="AX7:AY7"/>
    <mergeCell ref="AZ7:BA7"/>
    <mergeCell ref="BB7:BC7"/>
    <mergeCell ref="BD7:BE7"/>
    <mergeCell ref="BF7:BG7"/>
    <mergeCell ref="BI7:BJ7"/>
    <mergeCell ref="BK7:BL7"/>
    <mergeCell ref="BM7:BN7"/>
    <mergeCell ref="AP7:AQ7"/>
    <mergeCell ref="DV6:DX6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FM4:GU6"/>
    <mergeCell ref="N6:O6"/>
    <mergeCell ref="P6:S6"/>
    <mergeCell ref="V6:AK6"/>
    <mergeCell ref="AN6:BE6"/>
    <mergeCell ref="BI6:BR6"/>
    <mergeCell ref="BS6:BY6"/>
    <mergeCell ref="BZ6:CB6"/>
    <mergeCell ref="CN6:CX6"/>
    <mergeCell ref="CZ6:D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7" tint="0.39997558519241921"/>
  </sheetPr>
  <dimension ref="A1:HY86"/>
  <sheetViews>
    <sheetView tabSelected="1" view="pageBreakPreview" zoomScale="87" zoomScaleNormal="87" zoomScaleSheetLayoutView="87" workbookViewId="0">
      <pane xSplit="11" ySplit="8" topLeftCell="DX12" activePane="bottomRight" state="frozen"/>
      <selection pane="topRight" activeCell="L1" sqref="L1"/>
      <selection pane="bottomLeft" activeCell="A9" sqref="A9"/>
      <selection pane="bottomRight" activeCell="HU12" sqref="HU12"/>
    </sheetView>
  </sheetViews>
  <sheetFormatPr defaultRowHeight="14.25" x14ac:dyDescent="0.25"/>
  <cols>
    <col min="1" max="1" width="5.42578125" style="96" customWidth="1"/>
    <col min="2" max="2" width="20.85546875" style="236" customWidth="1"/>
    <col min="3" max="3" width="12" style="98" customWidth="1"/>
    <col min="4" max="4" width="12.28515625" style="97" hidden="1" customWidth="1"/>
    <col min="5" max="5" width="14.42578125" style="99" customWidth="1"/>
    <col min="6" max="6" width="6.7109375" style="97" customWidth="1"/>
    <col min="7" max="7" width="8.28515625" style="97" hidden="1" customWidth="1"/>
    <col min="8" max="8" width="13.42578125" style="97" customWidth="1"/>
    <col min="9" max="9" width="10.5703125" style="97" hidden="1" customWidth="1"/>
    <col min="10" max="11" width="10" style="97" customWidth="1"/>
    <col min="12" max="12" width="11.85546875" style="97" customWidth="1"/>
    <col min="13" max="13" width="11.140625" style="97" hidden="1" customWidth="1"/>
    <col min="14" max="14" width="11.5703125" style="97" hidden="1" customWidth="1"/>
    <col min="15" max="15" width="14.28515625" style="97" customWidth="1"/>
    <col min="16" max="16" width="8.85546875" style="97" bestFit="1" customWidth="1"/>
    <col min="17" max="17" width="11.7109375" style="97" bestFit="1" customWidth="1"/>
    <col min="18" max="18" width="9.7109375" style="97" hidden="1" customWidth="1"/>
    <col min="19" max="19" width="10.5703125" style="97" hidden="1" customWidth="1"/>
    <col min="20" max="20" width="5.5703125" style="97" hidden="1" customWidth="1"/>
    <col min="21" max="21" width="9" style="97" hidden="1" customWidth="1"/>
    <col min="22" max="22" width="7.85546875" style="97" hidden="1" customWidth="1"/>
    <col min="23" max="23" width="9.7109375" style="97" hidden="1" customWidth="1"/>
    <col min="24" max="24" width="7.85546875" style="97" hidden="1" customWidth="1"/>
    <col min="25" max="25" width="12" style="97" hidden="1" customWidth="1"/>
    <col min="26" max="26" width="9.140625" style="97" hidden="1" customWidth="1"/>
    <col min="27" max="27" width="11.7109375" style="97" hidden="1" customWidth="1"/>
    <col min="28" max="28" width="10.140625" style="97" hidden="1" customWidth="1"/>
    <col min="29" max="29" width="12.28515625" style="97" hidden="1" customWidth="1"/>
    <col min="30" max="31" width="12.140625" style="97" hidden="1" customWidth="1"/>
    <col min="32" max="32" width="9.140625" style="97" hidden="1" customWidth="1"/>
    <col min="33" max="33" width="12.28515625" style="97" hidden="1" customWidth="1"/>
    <col min="34" max="34" width="9.140625" style="97" hidden="1" customWidth="1"/>
    <col min="35" max="35" width="11" style="97" hidden="1" customWidth="1"/>
    <col min="36" max="36" width="10.85546875" style="97" hidden="1" customWidth="1"/>
    <col min="37" max="37" width="12.7109375" style="97" hidden="1" customWidth="1"/>
    <col min="38" max="38" width="9.140625" style="97" hidden="1" customWidth="1"/>
    <col min="39" max="39" width="12.5703125" style="97" hidden="1" customWidth="1"/>
    <col min="40" max="40" width="8.42578125" style="97" hidden="1" customWidth="1"/>
    <col min="41" max="41" width="11" style="97" hidden="1" customWidth="1"/>
    <col min="42" max="42" width="9.7109375" style="97" customWidth="1"/>
    <col min="43" max="43" width="10" style="97" customWidth="1"/>
    <col min="44" max="44" width="8.7109375" style="97" bestFit="1" customWidth="1"/>
    <col min="45" max="45" width="9.28515625" style="97" customWidth="1"/>
    <col min="46" max="46" width="8.5703125" style="97" hidden="1" customWidth="1"/>
    <col min="47" max="47" width="10.140625" style="97" hidden="1" customWidth="1"/>
    <col min="48" max="48" width="8.28515625" style="97" hidden="1" customWidth="1"/>
    <col min="49" max="49" width="9.5703125" style="97" hidden="1" customWidth="1"/>
    <col min="50" max="50" width="11.85546875" style="97" hidden="1" customWidth="1"/>
    <col min="51" max="51" width="11.42578125" style="97" hidden="1" customWidth="1"/>
    <col min="52" max="52" width="12.42578125" style="97" hidden="1" customWidth="1"/>
    <col min="53" max="53" width="12.28515625" style="97" hidden="1" customWidth="1"/>
    <col min="54" max="54" width="8.7109375" style="97" hidden="1" customWidth="1"/>
    <col min="55" max="56" width="9.140625" style="97" hidden="1" customWidth="1"/>
    <col min="57" max="57" width="8.7109375" style="97" hidden="1" customWidth="1"/>
    <col min="58" max="58" width="9.140625" style="97" hidden="1" customWidth="1"/>
    <col min="59" max="59" width="11.28515625" style="97" hidden="1" customWidth="1"/>
    <col min="60" max="60" width="9.140625" style="97" hidden="1" customWidth="1"/>
    <col min="61" max="61" width="11.5703125" style="97" hidden="1" customWidth="1"/>
    <col min="62" max="62" width="9.28515625" style="97" customWidth="1"/>
    <col min="63" max="63" width="11.140625" style="97" customWidth="1"/>
    <col min="64" max="64" width="11.7109375" style="97" hidden="1" customWidth="1"/>
    <col min="65" max="65" width="13.85546875" style="97" hidden="1" customWidth="1"/>
    <col min="66" max="66" width="12.42578125" style="97" hidden="1" customWidth="1"/>
    <col min="67" max="67" width="11.140625" style="97" hidden="1" customWidth="1"/>
    <col min="68" max="68" width="11" style="97" hidden="1" customWidth="1"/>
    <col min="69" max="69" width="9.5703125" style="97" hidden="1" customWidth="1"/>
    <col min="70" max="70" width="7.85546875" style="97" customWidth="1"/>
    <col min="71" max="71" width="11.28515625" style="97" hidden="1" customWidth="1"/>
    <col min="72" max="72" width="7.85546875" style="97" hidden="1" customWidth="1"/>
    <col min="73" max="73" width="10.5703125" style="97" hidden="1" customWidth="1"/>
    <col min="74" max="74" width="11.140625" style="97" customWidth="1"/>
    <col min="75" max="75" width="11.7109375" style="97" hidden="1" customWidth="1"/>
    <col min="76" max="76" width="11.140625" style="97" hidden="1" customWidth="1"/>
    <col min="77" max="77" width="13.140625" style="97" hidden="1" customWidth="1"/>
    <col min="78" max="78" width="13" style="97" hidden="1" customWidth="1"/>
    <col min="79" max="79" width="14" style="97" hidden="1" customWidth="1"/>
    <col min="80" max="80" width="11.42578125" style="97" hidden="1" customWidth="1"/>
    <col min="81" max="83" width="13.28515625" style="97" hidden="1" customWidth="1"/>
    <col min="84" max="84" width="12.42578125" style="97" hidden="1" customWidth="1"/>
    <col min="85" max="85" width="7" style="97" hidden="1" customWidth="1"/>
    <col min="86" max="86" width="11.28515625" style="97" hidden="1" customWidth="1"/>
    <col min="87" max="87" width="9.28515625" style="97" customWidth="1"/>
    <col min="88" max="90" width="10.140625" style="97" customWidth="1"/>
    <col min="91" max="91" width="8.7109375" style="97" bestFit="1" customWidth="1"/>
    <col min="92" max="93" width="13.5703125" style="97" bestFit="1" customWidth="1"/>
    <col min="94" max="94" width="14.7109375" style="97" bestFit="1" customWidth="1"/>
    <col min="95" max="95" width="14.85546875" style="98" hidden="1" customWidth="1"/>
    <col min="96" max="97" width="17.7109375" style="98" hidden="1" customWidth="1"/>
    <col min="98" max="98" width="14.85546875" style="97" hidden="1" customWidth="1"/>
    <col min="99" max="99" width="25.42578125" style="97" hidden="1" customWidth="1"/>
    <col min="100" max="100" width="28.7109375" style="97" hidden="1" customWidth="1"/>
    <col min="101" max="101" width="12.42578125" style="97" customWidth="1"/>
    <col min="102" max="102" width="11.7109375" style="97" customWidth="1"/>
    <col min="103" max="103" width="9.140625" style="97" customWidth="1"/>
    <col min="104" max="104" width="11.5703125" style="97" customWidth="1"/>
    <col min="105" max="105" width="13.85546875" style="97" customWidth="1"/>
    <col min="106" max="106" width="11" style="97" customWidth="1"/>
    <col min="107" max="107" width="10.42578125" style="97" customWidth="1"/>
    <col min="108" max="108" width="11.42578125" style="97" customWidth="1"/>
    <col min="109" max="109" width="11.7109375" style="97" customWidth="1"/>
    <col min="110" max="110" width="11.42578125" style="97" customWidth="1"/>
    <col min="111" max="111" width="12.7109375" style="97" customWidth="1"/>
    <col min="112" max="112" width="11.42578125" style="97" hidden="1" customWidth="1"/>
    <col min="113" max="113" width="11" style="97" hidden="1" customWidth="1"/>
    <col min="114" max="114" width="11.140625" style="97" hidden="1" customWidth="1"/>
    <col min="115" max="115" width="9.85546875" style="97" hidden="1" customWidth="1"/>
    <col min="116" max="116" width="11.5703125" style="97" hidden="1" customWidth="1"/>
    <col min="117" max="117" width="15.28515625" style="97" hidden="1" customWidth="1"/>
    <col min="118" max="119" width="11.5703125" style="97" hidden="1" customWidth="1"/>
    <col min="120" max="120" width="9.140625" style="97" hidden="1" customWidth="1"/>
    <col min="121" max="122" width="10.42578125" style="97" hidden="1" customWidth="1"/>
    <col min="123" max="123" width="12" style="97" hidden="1" customWidth="1"/>
    <col min="124" max="124" width="13" style="97" hidden="1" customWidth="1"/>
    <col min="125" max="125" width="12.5703125" style="97" hidden="1" customWidth="1"/>
    <col min="126" max="126" width="12.7109375" style="97" hidden="1" customWidth="1"/>
    <col min="127" max="127" width="12.7109375" style="97" customWidth="1"/>
    <col min="128" max="128" width="11.7109375" style="97" customWidth="1"/>
    <col min="129" max="129" width="11.5703125" style="97" customWidth="1"/>
    <col min="130" max="130" width="11.28515625" style="97" customWidth="1"/>
    <col min="131" max="131" width="11.5703125" style="97" hidden="1" customWidth="1"/>
    <col min="132" max="132" width="10.28515625" style="97" hidden="1" customWidth="1"/>
    <col min="133" max="133" width="11.85546875" style="97" hidden="1" customWidth="1"/>
    <col min="134" max="134" width="8.5703125" style="97" hidden="1" customWidth="1"/>
    <col min="135" max="135" width="11.28515625" style="97" customWidth="1"/>
    <col min="136" max="136" width="11.42578125" style="97" customWidth="1"/>
    <col min="137" max="137" width="12.85546875" style="97" customWidth="1"/>
    <col min="138" max="138" width="14.28515625" style="97" hidden="1" customWidth="1"/>
    <col min="139" max="139" width="13.42578125" style="97" hidden="1" customWidth="1"/>
    <col min="140" max="140" width="14.42578125" style="97" hidden="1" customWidth="1"/>
    <col min="141" max="141" width="16.140625" style="97" hidden="1" customWidth="1"/>
    <col min="142" max="142" width="14.28515625" style="97" hidden="1" customWidth="1"/>
    <col min="143" max="143" width="14.7109375" style="97" customWidth="1"/>
    <col min="144" max="144" width="13.85546875" style="97" customWidth="1"/>
    <col min="145" max="145" width="4.5703125" style="100" customWidth="1"/>
    <col min="146" max="146" width="13.85546875" style="199" hidden="1" customWidth="1"/>
    <col min="147" max="147" width="12.7109375" style="92" hidden="1" customWidth="1"/>
    <col min="148" max="148" width="12.42578125" style="92" hidden="1" customWidth="1"/>
    <col min="149" max="149" width="13.5703125" style="92" hidden="1" customWidth="1"/>
    <col min="150" max="150" width="12" style="92" hidden="1" customWidth="1"/>
    <col min="151" max="151" width="9.140625" style="92" hidden="1" customWidth="1"/>
    <col min="152" max="152" width="11.7109375" style="92" hidden="1" customWidth="1"/>
    <col min="153" max="153" width="10.85546875" style="92" hidden="1" customWidth="1"/>
    <col min="154" max="154" width="9.140625" style="92" hidden="1" customWidth="1"/>
    <col min="155" max="155" width="11.7109375" style="92" hidden="1" customWidth="1"/>
    <col min="156" max="156" width="12.85546875" style="92" hidden="1" customWidth="1"/>
    <col min="157" max="157" width="10.28515625" style="92" hidden="1" customWidth="1"/>
    <col min="158" max="158" width="10.85546875" style="92" hidden="1" customWidth="1"/>
    <col min="159" max="159" width="12" style="92" hidden="1" customWidth="1"/>
    <col min="160" max="160" width="11.7109375" style="92" hidden="1" customWidth="1"/>
    <col min="161" max="161" width="10.5703125" style="92" hidden="1" customWidth="1"/>
    <col min="162" max="162" width="12.85546875" style="92" hidden="1" customWidth="1"/>
    <col min="163" max="163" width="10.85546875" style="92" hidden="1" customWidth="1"/>
    <col min="164" max="164" width="10.28515625" style="92" hidden="1" customWidth="1"/>
    <col min="165" max="166" width="12" style="92" hidden="1" customWidth="1"/>
    <col min="167" max="167" width="13.42578125" style="92" hidden="1" customWidth="1"/>
    <col min="168" max="168" width="11.42578125" style="92" hidden="1" customWidth="1"/>
    <col min="169" max="169" width="12.140625" style="92" hidden="1" customWidth="1"/>
    <col min="170" max="170" width="11.7109375" style="92" hidden="1" customWidth="1"/>
    <col min="171" max="171" width="10.85546875" style="92" hidden="1" customWidth="1"/>
    <col min="172" max="172" width="9.140625" style="92" hidden="1" customWidth="1"/>
    <col min="173" max="173" width="13.42578125" style="92" hidden="1" customWidth="1"/>
    <col min="174" max="174" width="15.5703125" style="92" hidden="1" customWidth="1"/>
    <col min="175" max="175" width="14" style="92" hidden="1" customWidth="1"/>
    <col min="176" max="176" width="12.85546875" style="92" hidden="1" customWidth="1"/>
    <col min="177" max="177" width="11.140625" style="92" hidden="1" customWidth="1"/>
    <col min="178" max="178" width="12" style="92" hidden="1" customWidth="1"/>
    <col min="179" max="179" width="10.42578125" style="92" hidden="1" customWidth="1"/>
    <col min="180" max="180" width="17.140625" style="92" hidden="1" customWidth="1"/>
    <col min="181" max="181" width="12" style="92" hidden="1" customWidth="1"/>
    <col min="182" max="183" width="9.140625" style="92" hidden="1" customWidth="1"/>
    <col min="184" max="184" width="12.7109375" style="101" hidden="1" customWidth="1"/>
    <col min="185" max="185" width="14.5703125" style="101" hidden="1" customWidth="1"/>
    <col min="186" max="186" width="16.28515625" style="101" hidden="1" customWidth="1"/>
    <col min="187" max="187" width="14.140625" style="101" hidden="1" customWidth="1"/>
    <col min="188" max="188" width="13.140625" style="101" hidden="1" customWidth="1"/>
    <col min="189" max="189" width="14.28515625" style="101" hidden="1" customWidth="1"/>
    <col min="190" max="190" width="15.42578125" style="101" hidden="1" customWidth="1"/>
    <col min="191" max="191" width="16.42578125" style="101" hidden="1" customWidth="1"/>
    <col min="192" max="192" width="12.140625" style="101" hidden="1" customWidth="1"/>
    <col min="193" max="193" width="12.85546875" style="101" hidden="1" customWidth="1"/>
    <col min="194" max="194" width="15" style="101" hidden="1" customWidth="1"/>
    <col min="195" max="195" width="14" style="101" hidden="1" customWidth="1"/>
    <col min="196" max="196" width="15.42578125" style="101" hidden="1" customWidth="1"/>
    <col min="197" max="197" width="16.28515625" style="101" hidden="1" customWidth="1"/>
    <col min="198" max="198" width="14.7109375" style="101" hidden="1" customWidth="1"/>
    <col min="199" max="200" width="17.85546875" style="101" hidden="1" customWidth="1"/>
    <col min="201" max="201" width="11.140625" style="101" hidden="1" customWidth="1"/>
    <col min="202" max="202" width="13.5703125" style="101" hidden="1" customWidth="1"/>
    <col min="203" max="203" width="14.85546875" style="101" hidden="1" customWidth="1"/>
    <col min="204" max="204" width="12.5703125" style="101" hidden="1" customWidth="1"/>
    <col min="205" max="205" width="11.5703125" style="101" hidden="1" customWidth="1"/>
    <col min="206" max="206" width="13.85546875" style="101" hidden="1" customWidth="1"/>
    <col min="207" max="207" width="11.140625" style="101" hidden="1" customWidth="1"/>
    <col min="208" max="208" width="10.85546875" style="101" hidden="1" customWidth="1"/>
    <col min="209" max="209" width="10.42578125" style="101" hidden="1" customWidth="1"/>
    <col min="210" max="210" width="13.42578125" style="101" hidden="1" customWidth="1"/>
    <col min="211" max="211" width="15.5703125" style="101" hidden="1" customWidth="1"/>
    <col min="212" max="212" width="12.85546875" style="101" hidden="1" customWidth="1"/>
    <col min="213" max="213" width="11.42578125" style="101" hidden="1" customWidth="1"/>
    <col min="214" max="214" width="12.140625" style="101" hidden="1" customWidth="1"/>
    <col min="215" max="215" width="14.140625" style="101" hidden="1" customWidth="1"/>
    <col min="216" max="216" width="11.140625" style="101" hidden="1" customWidth="1"/>
    <col min="217" max="217" width="17.140625" style="101" hidden="1" customWidth="1"/>
    <col min="218" max="218" width="13.5703125" style="101" hidden="1" customWidth="1"/>
    <col min="219" max="219" width="19.7109375" style="92" hidden="1" customWidth="1"/>
    <col min="220" max="220" width="13.5703125" style="90" hidden="1" customWidth="1"/>
    <col min="221" max="221" width="9.140625" style="90" hidden="1" customWidth="1"/>
    <col min="222" max="222" width="0.140625" style="90" hidden="1" customWidth="1"/>
    <col min="223" max="223" width="4.85546875" style="102" hidden="1" customWidth="1"/>
    <col min="224" max="224" width="16.7109375" style="90" hidden="1" customWidth="1"/>
    <col min="225" max="225" width="13.85546875" style="90" hidden="1" customWidth="1"/>
    <col min="226" max="226" width="0" style="90" hidden="1" customWidth="1"/>
    <col min="227" max="232" width="9.140625" style="90"/>
    <col min="233" max="296" width="9.140625" style="92"/>
    <col min="297" max="297" width="3.7109375" style="92" customWidth="1"/>
    <col min="298" max="298" width="26.5703125" style="92" customWidth="1"/>
    <col min="299" max="300" width="13.7109375" style="92" customWidth="1"/>
    <col min="301" max="301" width="11.42578125" style="92" customWidth="1"/>
    <col min="302" max="302" width="13.42578125" style="92" customWidth="1"/>
    <col min="303" max="303" width="11.140625" style="92" customWidth="1"/>
    <col min="304" max="304" width="10.28515625" style="92" customWidth="1"/>
    <col min="305" max="305" width="9.42578125" style="92" customWidth="1"/>
    <col min="306" max="306" width="8.140625" style="92" customWidth="1"/>
    <col min="307" max="307" width="11.42578125" style="92" customWidth="1"/>
    <col min="308" max="308" width="7.7109375" style="92" customWidth="1"/>
    <col min="309" max="309" width="9" style="92" customWidth="1"/>
    <col min="310" max="311" width="9.140625" style="92" customWidth="1"/>
    <col min="312" max="316" width="9.140625" style="92"/>
    <col min="317" max="317" width="9" style="92" customWidth="1"/>
    <col min="318" max="318" width="9.140625" style="92"/>
    <col min="319" max="319" width="15.140625" style="92" customWidth="1"/>
    <col min="320" max="328" width="9.140625" style="92"/>
    <col min="329" max="329" width="10.5703125" style="92" customWidth="1"/>
    <col min="330" max="334" width="9.140625" style="92"/>
    <col min="335" max="335" width="9" style="92" bestFit="1" customWidth="1"/>
    <col min="336" max="336" width="12.140625" style="92" customWidth="1"/>
    <col min="337" max="337" width="13.28515625" style="92" customWidth="1"/>
    <col min="338" max="338" width="9.140625" style="92"/>
    <col min="339" max="339" width="13.140625" style="92" customWidth="1"/>
    <col min="340" max="340" width="11.5703125" style="92" customWidth="1"/>
    <col min="341" max="341" width="15.42578125" style="92" bestFit="1" customWidth="1"/>
    <col min="342" max="359" width="9.140625" style="92"/>
    <col min="360" max="362" width="11.140625" style="92" customWidth="1"/>
    <col min="363" max="363" width="14.85546875" style="92" bestFit="1" customWidth="1"/>
    <col min="364" max="369" width="14.85546875" style="92" customWidth="1"/>
    <col min="370" max="373" width="11.140625" style="92" customWidth="1"/>
    <col min="374" max="374" width="11" style="92" customWidth="1"/>
    <col min="375" max="375" width="13.28515625" style="92" customWidth="1"/>
    <col min="376" max="376" width="12.42578125" style="92" customWidth="1"/>
    <col min="377" max="385" width="14.85546875" style="92" customWidth="1"/>
    <col min="386" max="386" width="13.140625" style="92" customWidth="1"/>
    <col min="387" max="387" width="13.7109375" style="92" customWidth="1"/>
    <col min="388" max="390" width="13.28515625" style="92" customWidth="1"/>
    <col min="391" max="391" width="15.7109375" style="92" customWidth="1"/>
    <col min="392" max="392" width="9.140625" style="92"/>
    <col min="393" max="393" width="10.28515625" style="92" bestFit="1" customWidth="1"/>
    <col min="394" max="394" width="11.5703125" style="92" bestFit="1" customWidth="1"/>
    <col min="395" max="395" width="9.140625" style="92" customWidth="1"/>
    <col min="396" max="396" width="10.42578125" style="92" customWidth="1"/>
    <col min="397" max="398" width="15.85546875" style="92" customWidth="1"/>
    <col min="399" max="400" width="16.85546875" style="92" customWidth="1"/>
    <col min="401" max="401" width="14.42578125" style="92" customWidth="1"/>
    <col min="402" max="403" width="14.28515625" style="92" customWidth="1"/>
    <col min="404" max="404" width="14.7109375" style="92" customWidth="1"/>
    <col min="405" max="405" width="15.7109375" style="92" customWidth="1"/>
    <col min="406" max="406" width="9.140625" style="92"/>
    <col min="407" max="407" width="10.28515625" style="92" bestFit="1" customWidth="1"/>
    <col min="408" max="408" width="9.140625" style="92"/>
    <col min="409" max="409" width="11.5703125" style="92" bestFit="1" customWidth="1"/>
    <col min="410" max="410" width="9.28515625" style="92" bestFit="1" customWidth="1"/>
    <col min="411" max="411" width="9.140625" style="92"/>
    <col min="412" max="412" width="11.7109375" style="92" customWidth="1"/>
    <col min="413" max="413" width="10.28515625" style="92" bestFit="1" customWidth="1"/>
    <col min="414" max="414" width="9.140625" style="92"/>
    <col min="415" max="415" width="11" style="92" bestFit="1" customWidth="1"/>
    <col min="416" max="416" width="10" style="92" bestFit="1" customWidth="1"/>
    <col min="417" max="417" width="10.28515625" style="92" bestFit="1" customWidth="1"/>
    <col min="418" max="418" width="9.28515625" style="92" bestFit="1" customWidth="1"/>
    <col min="419" max="419" width="11.28515625" style="92" bestFit="1" customWidth="1"/>
    <col min="420" max="420" width="9.42578125" style="92" bestFit="1" customWidth="1"/>
    <col min="421" max="421" width="8.140625" style="92" bestFit="1" customWidth="1"/>
    <col min="422" max="422" width="10" style="92" bestFit="1" customWidth="1"/>
    <col min="423" max="423" width="10.28515625" style="92" bestFit="1" customWidth="1"/>
    <col min="424" max="424" width="8.7109375" style="92" customWidth="1"/>
    <col min="425" max="425" width="10.28515625" style="92" bestFit="1" customWidth="1"/>
    <col min="426" max="426" width="11.28515625" style="92" bestFit="1" customWidth="1"/>
    <col min="427" max="427" width="10.85546875" style="92" bestFit="1" customWidth="1"/>
    <col min="428" max="428" width="9.85546875" style="92" bestFit="1" customWidth="1"/>
    <col min="429" max="430" width="9.140625" style="92"/>
    <col min="431" max="431" width="9.85546875" style="92" bestFit="1" customWidth="1"/>
    <col min="432" max="435" width="9.140625" style="92"/>
    <col min="436" max="436" width="13.5703125" style="92" bestFit="1" customWidth="1"/>
    <col min="437" max="437" width="10.28515625" style="92" bestFit="1" customWidth="1"/>
    <col min="438" max="552" width="9.140625" style="92"/>
    <col min="553" max="553" width="3.7109375" style="92" customWidth="1"/>
    <col min="554" max="554" width="26.5703125" style="92" customWidth="1"/>
    <col min="555" max="556" width="13.7109375" style="92" customWidth="1"/>
    <col min="557" max="557" width="11.42578125" style="92" customWidth="1"/>
    <col min="558" max="558" width="13.42578125" style="92" customWidth="1"/>
    <col min="559" max="559" width="11.140625" style="92" customWidth="1"/>
    <col min="560" max="560" width="10.28515625" style="92" customWidth="1"/>
    <col min="561" max="561" width="9.42578125" style="92" customWidth="1"/>
    <col min="562" max="562" width="8.140625" style="92" customWidth="1"/>
    <col min="563" max="563" width="11.42578125" style="92" customWidth="1"/>
    <col min="564" max="564" width="7.7109375" style="92" customWidth="1"/>
    <col min="565" max="565" width="9" style="92" customWidth="1"/>
    <col min="566" max="567" width="9.140625" style="92" customWidth="1"/>
    <col min="568" max="572" width="9.140625" style="92"/>
    <col min="573" max="573" width="9" style="92" customWidth="1"/>
    <col min="574" max="574" width="9.140625" style="92"/>
    <col min="575" max="575" width="15.140625" style="92" customWidth="1"/>
    <col min="576" max="584" width="9.140625" style="92"/>
    <col min="585" max="585" width="10.5703125" style="92" customWidth="1"/>
    <col min="586" max="590" width="9.140625" style="92"/>
    <col min="591" max="591" width="9" style="92" bestFit="1" customWidth="1"/>
    <col min="592" max="592" width="12.140625" style="92" customWidth="1"/>
    <col min="593" max="593" width="13.28515625" style="92" customWidth="1"/>
    <col min="594" max="594" width="9.140625" style="92"/>
    <col min="595" max="595" width="13.140625" style="92" customWidth="1"/>
    <col min="596" max="596" width="11.5703125" style="92" customWidth="1"/>
    <col min="597" max="597" width="15.42578125" style="92" bestFit="1" customWidth="1"/>
    <col min="598" max="615" width="9.140625" style="92"/>
    <col min="616" max="618" width="11.140625" style="92" customWidth="1"/>
    <col min="619" max="619" width="14.85546875" style="92" bestFit="1" customWidth="1"/>
    <col min="620" max="625" width="14.85546875" style="92" customWidth="1"/>
    <col min="626" max="629" width="11.140625" style="92" customWidth="1"/>
    <col min="630" max="630" width="11" style="92" customWidth="1"/>
    <col min="631" max="631" width="13.28515625" style="92" customWidth="1"/>
    <col min="632" max="632" width="12.42578125" style="92" customWidth="1"/>
    <col min="633" max="641" width="14.85546875" style="92" customWidth="1"/>
    <col min="642" max="642" width="13.140625" style="92" customWidth="1"/>
    <col min="643" max="643" width="13.7109375" style="92" customWidth="1"/>
    <col min="644" max="646" width="13.28515625" style="92" customWidth="1"/>
    <col min="647" max="647" width="15.7109375" style="92" customWidth="1"/>
    <col min="648" max="648" width="9.140625" style="92"/>
    <col min="649" max="649" width="10.28515625" style="92" bestFit="1" customWidth="1"/>
    <col min="650" max="650" width="11.5703125" style="92" bestFit="1" customWidth="1"/>
    <col min="651" max="651" width="9.140625" style="92" customWidth="1"/>
    <col min="652" max="652" width="10.42578125" style="92" customWidth="1"/>
    <col min="653" max="654" width="15.85546875" style="92" customWidth="1"/>
    <col min="655" max="656" width="16.85546875" style="92" customWidth="1"/>
    <col min="657" max="657" width="14.42578125" style="92" customWidth="1"/>
    <col min="658" max="659" width="14.28515625" style="92" customWidth="1"/>
    <col min="660" max="660" width="14.7109375" style="92" customWidth="1"/>
    <col min="661" max="661" width="15.7109375" style="92" customWidth="1"/>
    <col min="662" max="662" width="9.140625" style="92"/>
    <col min="663" max="663" width="10.28515625" style="92" bestFit="1" customWidth="1"/>
    <col min="664" max="664" width="9.140625" style="92"/>
    <col min="665" max="665" width="11.5703125" style="92" bestFit="1" customWidth="1"/>
    <col min="666" max="666" width="9.28515625" style="92" bestFit="1" customWidth="1"/>
    <col min="667" max="667" width="9.140625" style="92"/>
    <col min="668" max="668" width="11.7109375" style="92" customWidth="1"/>
    <col min="669" max="669" width="10.28515625" style="92" bestFit="1" customWidth="1"/>
    <col min="670" max="670" width="9.140625" style="92"/>
    <col min="671" max="671" width="11" style="92" bestFit="1" customWidth="1"/>
    <col min="672" max="672" width="10" style="92" bestFit="1" customWidth="1"/>
    <col min="673" max="673" width="10.28515625" style="92" bestFit="1" customWidth="1"/>
    <col min="674" max="674" width="9.28515625" style="92" bestFit="1" customWidth="1"/>
    <col min="675" max="675" width="11.28515625" style="92" bestFit="1" customWidth="1"/>
    <col min="676" max="676" width="9.42578125" style="92" bestFit="1" customWidth="1"/>
    <col min="677" max="677" width="8.140625" style="92" bestFit="1" customWidth="1"/>
    <col min="678" max="678" width="10" style="92" bestFit="1" customWidth="1"/>
    <col min="679" max="679" width="10.28515625" style="92" bestFit="1" customWidth="1"/>
    <col min="680" max="680" width="8.7109375" style="92" customWidth="1"/>
    <col min="681" max="681" width="10.28515625" style="92" bestFit="1" customWidth="1"/>
    <col min="682" max="682" width="11.28515625" style="92" bestFit="1" customWidth="1"/>
    <col min="683" max="683" width="10.85546875" style="92" bestFit="1" customWidth="1"/>
    <col min="684" max="684" width="9.85546875" style="92" bestFit="1" customWidth="1"/>
    <col min="685" max="686" width="9.140625" style="92"/>
    <col min="687" max="687" width="9.85546875" style="92" bestFit="1" customWidth="1"/>
    <col min="688" max="691" width="9.140625" style="92"/>
    <col min="692" max="692" width="13.5703125" style="92" bestFit="1" customWidth="1"/>
    <col min="693" max="693" width="10.28515625" style="92" bestFit="1" customWidth="1"/>
    <col min="694" max="808" width="9.140625" style="92"/>
    <col min="809" max="809" width="3.7109375" style="92" customWidth="1"/>
    <col min="810" max="810" width="26.5703125" style="92" customWidth="1"/>
    <col min="811" max="812" width="13.7109375" style="92" customWidth="1"/>
    <col min="813" max="813" width="11.42578125" style="92" customWidth="1"/>
    <col min="814" max="814" width="13.42578125" style="92" customWidth="1"/>
    <col min="815" max="815" width="11.140625" style="92" customWidth="1"/>
    <col min="816" max="816" width="10.28515625" style="92" customWidth="1"/>
    <col min="817" max="817" width="9.42578125" style="92" customWidth="1"/>
    <col min="818" max="818" width="8.140625" style="92" customWidth="1"/>
    <col min="819" max="819" width="11.42578125" style="92" customWidth="1"/>
    <col min="820" max="820" width="7.7109375" style="92" customWidth="1"/>
    <col min="821" max="821" width="9" style="92" customWidth="1"/>
    <col min="822" max="823" width="9.140625" style="92" customWidth="1"/>
    <col min="824" max="828" width="9.140625" style="92"/>
    <col min="829" max="829" width="9" style="92" customWidth="1"/>
    <col min="830" max="830" width="9.140625" style="92"/>
    <col min="831" max="831" width="15.140625" style="92" customWidth="1"/>
    <col min="832" max="840" width="9.140625" style="92"/>
    <col min="841" max="841" width="10.5703125" style="92" customWidth="1"/>
    <col min="842" max="846" width="9.140625" style="92"/>
    <col min="847" max="847" width="9" style="92" bestFit="1" customWidth="1"/>
    <col min="848" max="848" width="12.140625" style="92" customWidth="1"/>
    <col min="849" max="849" width="13.28515625" style="92" customWidth="1"/>
    <col min="850" max="850" width="9.140625" style="92"/>
    <col min="851" max="851" width="13.140625" style="92" customWidth="1"/>
    <col min="852" max="852" width="11.5703125" style="92" customWidth="1"/>
    <col min="853" max="853" width="15.42578125" style="92" bestFit="1" customWidth="1"/>
    <col min="854" max="871" width="9.140625" style="92"/>
    <col min="872" max="874" width="11.140625" style="92" customWidth="1"/>
    <col min="875" max="875" width="14.85546875" style="92" bestFit="1" customWidth="1"/>
    <col min="876" max="881" width="14.85546875" style="92" customWidth="1"/>
    <col min="882" max="885" width="11.140625" style="92" customWidth="1"/>
    <col min="886" max="886" width="11" style="92" customWidth="1"/>
    <col min="887" max="887" width="13.28515625" style="92" customWidth="1"/>
    <col min="888" max="888" width="12.42578125" style="92" customWidth="1"/>
    <col min="889" max="897" width="14.85546875" style="92" customWidth="1"/>
    <col min="898" max="898" width="13.140625" style="92" customWidth="1"/>
    <col min="899" max="899" width="13.7109375" style="92" customWidth="1"/>
    <col min="900" max="902" width="13.28515625" style="92" customWidth="1"/>
    <col min="903" max="903" width="15.7109375" style="92" customWidth="1"/>
    <col min="904" max="904" width="9.140625" style="92"/>
    <col min="905" max="905" width="10.28515625" style="92" bestFit="1" customWidth="1"/>
    <col min="906" max="906" width="11.5703125" style="92" bestFit="1" customWidth="1"/>
    <col min="907" max="907" width="9.140625" style="92" customWidth="1"/>
    <col min="908" max="908" width="10.42578125" style="92" customWidth="1"/>
    <col min="909" max="910" width="15.85546875" style="92" customWidth="1"/>
    <col min="911" max="912" width="16.85546875" style="92" customWidth="1"/>
    <col min="913" max="913" width="14.42578125" style="92" customWidth="1"/>
    <col min="914" max="915" width="14.28515625" style="92" customWidth="1"/>
    <col min="916" max="916" width="14.7109375" style="92" customWidth="1"/>
    <col min="917" max="917" width="15.7109375" style="92" customWidth="1"/>
    <col min="918" max="918" width="9.140625" style="92"/>
    <col min="919" max="919" width="10.28515625" style="92" bestFit="1" customWidth="1"/>
    <col min="920" max="920" width="9.140625" style="92"/>
    <col min="921" max="921" width="11.5703125" style="92" bestFit="1" customWidth="1"/>
    <col min="922" max="922" width="9.28515625" style="92" bestFit="1" customWidth="1"/>
    <col min="923" max="923" width="9.140625" style="92"/>
    <col min="924" max="924" width="11.7109375" style="92" customWidth="1"/>
    <col min="925" max="925" width="10.28515625" style="92" bestFit="1" customWidth="1"/>
    <col min="926" max="926" width="9.140625" style="92"/>
    <col min="927" max="927" width="11" style="92" bestFit="1" customWidth="1"/>
    <col min="928" max="928" width="10" style="92" bestFit="1" customWidth="1"/>
    <col min="929" max="929" width="10.28515625" style="92" bestFit="1" customWidth="1"/>
    <col min="930" max="930" width="9.28515625" style="92" bestFit="1" customWidth="1"/>
    <col min="931" max="931" width="11.28515625" style="92" bestFit="1" customWidth="1"/>
    <col min="932" max="932" width="9.42578125" style="92" bestFit="1" customWidth="1"/>
    <col min="933" max="933" width="8.140625" style="92" bestFit="1" customWidth="1"/>
    <col min="934" max="934" width="10" style="92" bestFit="1" customWidth="1"/>
    <col min="935" max="935" width="10.28515625" style="92" bestFit="1" customWidth="1"/>
    <col min="936" max="936" width="8.7109375" style="92" customWidth="1"/>
    <col min="937" max="937" width="10.28515625" style="92" bestFit="1" customWidth="1"/>
    <col min="938" max="938" width="11.28515625" style="92" bestFit="1" customWidth="1"/>
    <col min="939" max="939" width="10.85546875" style="92" bestFit="1" customWidth="1"/>
    <col min="940" max="940" width="9.85546875" style="92" bestFit="1" customWidth="1"/>
    <col min="941" max="942" width="9.140625" style="92"/>
    <col min="943" max="943" width="9.85546875" style="92" bestFit="1" customWidth="1"/>
    <col min="944" max="947" width="9.140625" style="92"/>
    <col min="948" max="948" width="13.5703125" style="92" bestFit="1" customWidth="1"/>
    <col min="949" max="949" width="10.28515625" style="92" bestFit="1" customWidth="1"/>
    <col min="950" max="1064" width="9.140625" style="92"/>
    <col min="1065" max="1065" width="3.7109375" style="92" customWidth="1"/>
    <col min="1066" max="1066" width="26.5703125" style="92" customWidth="1"/>
    <col min="1067" max="1068" width="13.7109375" style="92" customWidth="1"/>
    <col min="1069" max="1069" width="11.42578125" style="92" customWidth="1"/>
    <col min="1070" max="1070" width="13.42578125" style="92" customWidth="1"/>
    <col min="1071" max="1071" width="11.140625" style="92" customWidth="1"/>
    <col min="1072" max="1072" width="10.28515625" style="92" customWidth="1"/>
    <col min="1073" max="1073" width="9.42578125" style="92" customWidth="1"/>
    <col min="1074" max="1074" width="8.140625" style="92" customWidth="1"/>
    <col min="1075" max="1075" width="11.42578125" style="92" customWidth="1"/>
    <col min="1076" max="1076" width="7.7109375" style="92" customWidth="1"/>
    <col min="1077" max="1077" width="9" style="92" customWidth="1"/>
    <col min="1078" max="1079" width="9.140625" style="92" customWidth="1"/>
    <col min="1080" max="1084" width="9.140625" style="92"/>
    <col min="1085" max="1085" width="9" style="92" customWidth="1"/>
    <col min="1086" max="1086" width="9.140625" style="92"/>
    <col min="1087" max="1087" width="15.140625" style="92" customWidth="1"/>
    <col min="1088" max="1096" width="9.140625" style="92"/>
    <col min="1097" max="1097" width="10.5703125" style="92" customWidth="1"/>
    <col min="1098" max="1102" width="9.140625" style="92"/>
    <col min="1103" max="1103" width="9" style="92" bestFit="1" customWidth="1"/>
    <col min="1104" max="1104" width="12.140625" style="92" customWidth="1"/>
    <col min="1105" max="1105" width="13.28515625" style="92" customWidth="1"/>
    <col min="1106" max="1106" width="9.140625" style="92"/>
    <col min="1107" max="1107" width="13.140625" style="92" customWidth="1"/>
    <col min="1108" max="1108" width="11.5703125" style="92" customWidth="1"/>
    <col min="1109" max="1109" width="15.42578125" style="92" bestFit="1" customWidth="1"/>
    <col min="1110" max="1127" width="9.140625" style="92"/>
    <col min="1128" max="1130" width="11.140625" style="92" customWidth="1"/>
    <col min="1131" max="1131" width="14.85546875" style="92" bestFit="1" customWidth="1"/>
    <col min="1132" max="1137" width="14.85546875" style="92" customWidth="1"/>
    <col min="1138" max="1141" width="11.140625" style="92" customWidth="1"/>
    <col min="1142" max="1142" width="11" style="92" customWidth="1"/>
    <col min="1143" max="1143" width="13.28515625" style="92" customWidth="1"/>
    <col min="1144" max="1144" width="12.42578125" style="92" customWidth="1"/>
    <col min="1145" max="1153" width="14.85546875" style="92" customWidth="1"/>
    <col min="1154" max="1154" width="13.140625" style="92" customWidth="1"/>
    <col min="1155" max="1155" width="13.7109375" style="92" customWidth="1"/>
    <col min="1156" max="1158" width="13.28515625" style="92" customWidth="1"/>
    <col min="1159" max="1159" width="15.7109375" style="92" customWidth="1"/>
    <col min="1160" max="1160" width="9.140625" style="92"/>
    <col min="1161" max="1161" width="10.28515625" style="92" bestFit="1" customWidth="1"/>
    <col min="1162" max="1162" width="11.5703125" style="92" bestFit="1" customWidth="1"/>
    <col min="1163" max="1163" width="9.140625" style="92" customWidth="1"/>
    <col min="1164" max="1164" width="10.42578125" style="92" customWidth="1"/>
    <col min="1165" max="1166" width="15.85546875" style="92" customWidth="1"/>
    <col min="1167" max="1168" width="16.85546875" style="92" customWidth="1"/>
    <col min="1169" max="1169" width="14.42578125" style="92" customWidth="1"/>
    <col min="1170" max="1171" width="14.28515625" style="92" customWidth="1"/>
    <col min="1172" max="1172" width="14.7109375" style="92" customWidth="1"/>
    <col min="1173" max="1173" width="15.7109375" style="92" customWidth="1"/>
    <col min="1174" max="1174" width="9.140625" style="92"/>
    <col min="1175" max="1175" width="10.28515625" style="92" bestFit="1" customWidth="1"/>
    <col min="1176" max="1176" width="9.140625" style="92"/>
    <col min="1177" max="1177" width="11.5703125" style="92" bestFit="1" customWidth="1"/>
    <col min="1178" max="1178" width="9.28515625" style="92" bestFit="1" customWidth="1"/>
    <col min="1179" max="1179" width="9.140625" style="92"/>
    <col min="1180" max="1180" width="11.7109375" style="92" customWidth="1"/>
    <col min="1181" max="1181" width="10.28515625" style="92" bestFit="1" customWidth="1"/>
    <col min="1182" max="1182" width="9.140625" style="92"/>
    <col min="1183" max="1183" width="11" style="92" bestFit="1" customWidth="1"/>
    <col min="1184" max="1184" width="10" style="92" bestFit="1" customWidth="1"/>
    <col min="1185" max="1185" width="10.28515625" style="92" bestFit="1" customWidth="1"/>
    <col min="1186" max="1186" width="9.28515625" style="92" bestFit="1" customWidth="1"/>
    <col min="1187" max="1187" width="11.28515625" style="92" bestFit="1" customWidth="1"/>
    <col min="1188" max="1188" width="9.42578125" style="92" bestFit="1" customWidth="1"/>
    <col min="1189" max="1189" width="8.140625" style="92" bestFit="1" customWidth="1"/>
    <col min="1190" max="1190" width="10" style="92" bestFit="1" customWidth="1"/>
    <col min="1191" max="1191" width="10.28515625" style="92" bestFit="1" customWidth="1"/>
    <col min="1192" max="1192" width="8.7109375" style="92" customWidth="1"/>
    <col min="1193" max="1193" width="10.28515625" style="92" bestFit="1" customWidth="1"/>
    <col min="1194" max="1194" width="11.28515625" style="92" bestFit="1" customWidth="1"/>
    <col min="1195" max="1195" width="10.85546875" style="92" bestFit="1" customWidth="1"/>
    <col min="1196" max="1196" width="9.85546875" style="92" bestFit="1" customWidth="1"/>
    <col min="1197" max="1198" width="9.140625" style="92"/>
    <col min="1199" max="1199" width="9.85546875" style="92" bestFit="1" customWidth="1"/>
    <col min="1200" max="1203" width="9.140625" style="92"/>
    <col min="1204" max="1204" width="13.5703125" style="92" bestFit="1" customWidth="1"/>
    <col min="1205" max="1205" width="10.28515625" style="92" bestFit="1" customWidth="1"/>
    <col min="1206" max="1320" width="9.140625" style="92"/>
    <col min="1321" max="1321" width="3.7109375" style="92" customWidth="1"/>
    <col min="1322" max="1322" width="26.5703125" style="92" customWidth="1"/>
    <col min="1323" max="1324" width="13.7109375" style="92" customWidth="1"/>
    <col min="1325" max="1325" width="11.42578125" style="92" customWidth="1"/>
    <col min="1326" max="1326" width="13.42578125" style="92" customWidth="1"/>
    <col min="1327" max="1327" width="11.140625" style="92" customWidth="1"/>
    <col min="1328" max="1328" width="10.28515625" style="92" customWidth="1"/>
    <col min="1329" max="1329" width="9.42578125" style="92" customWidth="1"/>
    <col min="1330" max="1330" width="8.140625" style="92" customWidth="1"/>
    <col min="1331" max="1331" width="11.42578125" style="92" customWidth="1"/>
    <col min="1332" max="1332" width="7.7109375" style="92" customWidth="1"/>
    <col min="1333" max="1333" width="9" style="92" customWidth="1"/>
    <col min="1334" max="1335" width="9.140625" style="92" customWidth="1"/>
    <col min="1336" max="1340" width="9.140625" style="92"/>
    <col min="1341" max="1341" width="9" style="92" customWidth="1"/>
    <col min="1342" max="1342" width="9.140625" style="92"/>
    <col min="1343" max="1343" width="15.140625" style="92" customWidth="1"/>
    <col min="1344" max="1352" width="9.140625" style="92"/>
    <col min="1353" max="1353" width="10.5703125" style="92" customWidth="1"/>
    <col min="1354" max="1358" width="9.140625" style="92"/>
    <col min="1359" max="1359" width="9" style="92" bestFit="1" customWidth="1"/>
    <col min="1360" max="1360" width="12.140625" style="92" customWidth="1"/>
    <col min="1361" max="1361" width="13.28515625" style="92" customWidth="1"/>
    <col min="1362" max="1362" width="9.140625" style="92"/>
    <col min="1363" max="1363" width="13.140625" style="92" customWidth="1"/>
    <col min="1364" max="1364" width="11.5703125" style="92" customWidth="1"/>
    <col min="1365" max="1365" width="15.42578125" style="92" bestFit="1" customWidth="1"/>
    <col min="1366" max="1383" width="9.140625" style="92"/>
    <col min="1384" max="1386" width="11.140625" style="92" customWidth="1"/>
    <col min="1387" max="1387" width="14.85546875" style="92" bestFit="1" customWidth="1"/>
    <col min="1388" max="1393" width="14.85546875" style="92" customWidth="1"/>
    <col min="1394" max="1397" width="11.140625" style="92" customWidth="1"/>
    <col min="1398" max="1398" width="11" style="92" customWidth="1"/>
    <col min="1399" max="1399" width="13.28515625" style="92" customWidth="1"/>
    <col min="1400" max="1400" width="12.42578125" style="92" customWidth="1"/>
    <col min="1401" max="1409" width="14.85546875" style="92" customWidth="1"/>
    <col min="1410" max="1410" width="13.140625" style="92" customWidth="1"/>
    <col min="1411" max="1411" width="13.7109375" style="92" customWidth="1"/>
    <col min="1412" max="1414" width="13.28515625" style="92" customWidth="1"/>
    <col min="1415" max="1415" width="15.7109375" style="92" customWidth="1"/>
    <col min="1416" max="1416" width="9.140625" style="92"/>
    <col min="1417" max="1417" width="10.28515625" style="92" bestFit="1" customWidth="1"/>
    <col min="1418" max="1418" width="11.5703125" style="92" bestFit="1" customWidth="1"/>
    <col min="1419" max="1419" width="9.140625" style="92" customWidth="1"/>
    <col min="1420" max="1420" width="10.42578125" style="92" customWidth="1"/>
    <col min="1421" max="1422" width="15.85546875" style="92" customWidth="1"/>
    <col min="1423" max="1424" width="16.85546875" style="92" customWidth="1"/>
    <col min="1425" max="1425" width="14.42578125" style="92" customWidth="1"/>
    <col min="1426" max="1427" width="14.28515625" style="92" customWidth="1"/>
    <col min="1428" max="1428" width="14.7109375" style="92" customWidth="1"/>
    <col min="1429" max="1429" width="15.7109375" style="92" customWidth="1"/>
    <col min="1430" max="1430" width="9.140625" style="92"/>
    <col min="1431" max="1431" width="10.28515625" style="92" bestFit="1" customWidth="1"/>
    <col min="1432" max="1432" width="9.140625" style="92"/>
    <col min="1433" max="1433" width="11.5703125" style="92" bestFit="1" customWidth="1"/>
    <col min="1434" max="1434" width="9.28515625" style="92" bestFit="1" customWidth="1"/>
    <col min="1435" max="1435" width="9.140625" style="92"/>
    <col min="1436" max="1436" width="11.7109375" style="92" customWidth="1"/>
    <col min="1437" max="1437" width="10.28515625" style="92" bestFit="1" customWidth="1"/>
    <col min="1438" max="1438" width="9.140625" style="92"/>
    <col min="1439" max="1439" width="11" style="92" bestFit="1" customWidth="1"/>
    <col min="1440" max="1440" width="10" style="92" bestFit="1" customWidth="1"/>
    <col min="1441" max="1441" width="10.28515625" style="92" bestFit="1" customWidth="1"/>
    <col min="1442" max="1442" width="9.28515625" style="92" bestFit="1" customWidth="1"/>
    <col min="1443" max="1443" width="11.28515625" style="92" bestFit="1" customWidth="1"/>
    <col min="1444" max="1444" width="9.42578125" style="92" bestFit="1" customWidth="1"/>
    <col min="1445" max="1445" width="8.140625" style="92" bestFit="1" customWidth="1"/>
    <col min="1446" max="1446" width="10" style="92" bestFit="1" customWidth="1"/>
    <col min="1447" max="1447" width="10.28515625" style="92" bestFit="1" customWidth="1"/>
    <col min="1448" max="1448" width="8.7109375" style="92" customWidth="1"/>
    <col min="1449" max="1449" width="10.28515625" style="92" bestFit="1" customWidth="1"/>
    <col min="1450" max="1450" width="11.28515625" style="92" bestFit="1" customWidth="1"/>
    <col min="1451" max="1451" width="10.85546875" style="92" bestFit="1" customWidth="1"/>
    <col min="1452" max="1452" width="9.85546875" style="92" bestFit="1" customWidth="1"/>
    <col min="1453" max="1454" width="9.140625" style="92"/>
    <col min="1455" max="1455" width="9.85546875" style="92" bestFit="1" customWidth="1"/>
    <col min="1456" max="1459" width="9.140625" style="92"/>
    <col min="1460" max="1460" width="13.5703125" style="92" bestFit="1" customWidth="1"/>
    <col min="1461" max="1461" width="10.28515625" style="92" bestFit="1" customWidth="1"/>
    <col min="1462" max="1576" width="9.140625" style="92"/>
    <col min="1577" max="1577" width="3.7109375" style="92" customWidth="1"/>
    <col min="1578" max="1578" width="26.5703125" style="92" customWidth="1"/>
    <col min="1579" max="1580" width="13.7109375" style="92" customWidth="1"/>
    <col min="1581" max="1581" width="11.42578125" style="92" customWidth="1"/>
    <col min="1582" max="1582" width="13.42578125" style="92" customWidth="1"/>
    <col min="1583" max="1583" width="11.140625" style="92" customWidth="1"/>
    <col min="1584" max="1584" width="10.28515625" style="92" customWidth="1"/>
    <col min="1585" max="1585" width="9.42578125" style="92" customWidth="1"/>
    <col min="1586" max="1586" width="8.140625" style="92" customWidth="1"/>
    <col min="1587" max="1587" width="11.42578125" style="92" customWidth="1"/>
    <col min="1588" max="1588" width="7.7109375" style="92" customWidth="1"/>
    <col min="1589" max="1589" width="9" style="92" customWidth="1"/>
    <col min="1590" max="1591" width="9.140625" style="92" customWidth="1"/>
    <col min="1592" max="1596" width="9.140625" style="92"/>
    <col min="1597" max="1597" width="9" style="92" customWidth="1"/>
    <col min="1598" max="1598" width="9.140625" style="92"/>
    <col min="1599" max="1599" width="15.140625" style="92" customWidth="1"/>
    <col min="1600" max="1608" width="9.140625" style="92"/>
    <col min="1609" max="1609" width="10.5703125" style="92" customWidth="1"/>
    <col min="1610" max="1614" width="9.140625" style="92"/>
    <col min="1615" max="1615" width="9" style="92" bestFit="1" customWidth="1"/>
    <col min="1616" max="1616" width="12.140625" style="92" customWidth="1"/>
    <col min="1617" max="1617" width="13.28515625" style="92" customWidth="1"/>
    <col min="1618" max="1618" width="9.140625" style="92"/>
    <col min="1619" max="1619" width="13.140625" style="92" customWidth="1"/>
    <col min="1620" max="1620" width="11.5703125" style="92" customWidth="1"/>
    <col min="1621" max="1621" width="15.42578125" style="92" bestFit="1" customWidth="1"/>
    <col min="1622" max="1639" width="9.140625" style="92"/>
    <col min="1640" max="1642" width="11.140625" style="92" customWidth="1"/>
    <col min="1643" max="1643" width="14.85546875" style="92" bestFit="1" customWidth="1"/>
    <col min="1644" max="1649" width="14.85546875" style="92" customWidth="1"/>
    <col min="1650" max="1653" width="11.140625" style="92" customWidth="1"/>
    <col min="1654" max="1654" width="11" style="92" customWidth="1"/>
    <col min="1655" max="1655" width="13.28515625" style="92" customWidth="1"/>
    <col min="1656" max="1656" width="12.42578125" style="92" customWidth="1"/>
    <col min="1657" max="1665" width="14.85546875" style="92" customWidth="1"/>
    <col min="1666" max="1666" width="13.140625" style="92" customWidth="1"/>
    <col min="1667" max="1667" width="13.7109375" style="92" customWidth="1"/>
    <col min="1668" max="1670" width="13.28515625" style="92" customWidth="1"/>
    <col min="1671" max="1671" width="15.7109375" style="92" customWidth="1"/>
    <col min="1672" max="1672" width="9.140625" style="92"/>
    <col min="1673" max="1673" width="10.28515625" style="92" bestFit="1" customWidth="1"/>
    <col min="1674" max="1674" width="11.5703125" style="92" bestFit="1" customWidth="1"/>
    <col min="1675" max="1675" width="9.140625" style="92" customWidth="1"/>
    <col min="1676" max="1676" width="10.42578125" style="92" customWidth="1"/>
    <col min="1677" max="1678" width="15.85546875" style="92" customWidth="1"/>
    <col min="1679" max="1680" width="16.85546875" style="92" customWidth="1"/>
    <col min="1681" max="1681" width="14.42578125" style="92" customWidth="1"/>
    <col min="1682" max="1683" width="14.28515625" style="92" customWidth="1"/>
    <col min="1684" max="1684" width="14.7109375" style="92" customWidth="1"/>
    <col min="1685" max="1685" width="15.7109375" style="92" customWidth="1"/>
    <col min="1686" max="1686" width="9.140625" style="92"/>
    <col min="1687" max="1687" width="10.28515625" style="92" bestFit="1" customWidth="1"/>
    <col min="1688" max="1688" width="9.140625" style="92"/>
    <col min="1689" max="1689" width="11.5703125" style="92" bestFit="1" customWidth="1"/>
    <col min="1690" max="1690" width="9.28515625" style="92" bestFit="1" customWidth="1"/>
    <col min="1691" max="1691" width="9.140625" style="92"/>
    <col min="1692" max="1692" width="11.7109375" style="92" customWidth="1"/>
    <col min="1693" max="1693" width="10.28515625" style="92" bestFit="1" customWidth="1"/>
    <col min="1694" max="1694" width="9.140625" style="92"/>
    <col min="1695" max="1695" width="11" style="92" bestFit="1" customWidth="1"/>
    <col min="1696" max="1696" width="10" style="92" bestFit="1" customWidth="1"/>
    <col min="1697" max="1697" width="10.28515625" style="92" bestFit="1" customWidth="1"/>
    <col min="1698" max="1698" width="9.28515625" style="92" bestFit="1" customWidth="1"/>
    <col min="1699" max="1699" width="11.28515625" style="92" bestFit="1" customWidth="1"/>
    <col min="1700" max="1700" width="9.42578125" style="92" bestFit="1" customWidth="1"/>
    <col min="1701" max="1701" width="8.140625" style="92" bestFit="1" customWidth="1"/>
    <col min="1702" max="1702" width="10" style="92" bestFit="1" customWidth="1"/>
    <col min="1703" max="1703" width="10.28515625" style="92" bestFit="1" customWidth="1"/>
    <col min="1704" max="1704" width="8.7109375" style="92" customWidth="1"/>
    <col min="1705" max="1705" width="10.28515625" style="92" bestFit="1" customWidth="1"/>
    <col min="1706" max="1706" width="11.28515625" style="92" bestFit="1" customWidth="1"/>
    <col min="1707" max="1707" width="10.85546875" style="92" bestFit="1" customWidth="1"/>
    <col min="1708" max="1708" width="9.85546875" style="92" bestFit="1" customWidth="1"/>
    <col min="1709" max="1710" width="9.140625" style="92"/>
    <col min="1711" max="1711" width="9.85546875" style="92" bestFit="1" customWidth="1"/>
    <col min="1712" max="1715" width="9.140625" style="92"/>
    <col min="1716" max="1716" width="13.5703125" style="92" bestFit="1" customWidth="1"/>
    <col min="1717" max="1717" width="10.28515625" style="92" bestFit="1" customWidth="1"/>
    <col min="1718" max="1832" width="9.140625" style="92"/>
    <col min="1833" max="1833" width="3.7109375" style="92" customWidth="1"/>
    <col min="1834" max="1834" width="26.5703125" style="92" customWidth="1"/>
    <col min="1835" max="1836" width="13.7109375" style="92" customWidth="1"/>
    <col min="1837" max="1837" width="11.42578125" style="92" customWidth="1"/>
    <col min="1838" max="1838" width="13.42578125" style="92" customWidth="1"/>
    <col min="1839" max="1839" width="11.140625" style="92" customWidth="1"/>
    <col min="1840" max="1840" width="10.28515625" style="92" customWidth="1"/>
    <col min="1841" max="1841" width="9.42578125" style="92" customWidth="1"/>
    <col min="1842" max="1842" width="8.140625" style="92" customWidth="1"/>
    <col min="1843" max="1843" width="11.42578125" style="92" customWidth="1"/>
    <col min="1844" max="1844" width="7.7109375" style="92" customWidth="1"/>
    <col min="1845" max="1845" width="9" style="92" customWidth="1"/>
    <col min="1846" max="1847" width="9.140625" style="92" customWidth="1"/>
    <col min="1848" max="1852" width="9.140625" style="92"/>
    <col min="1853" max="1853" width="9" style="92" customWidth="1"/>
    <col min="1854" max="1854" width="9.140625" style="92"/>
    <col min="1855" max="1855" width="15.140625" style="92" customWidth="1"/>
    <col min="1856" max="1864" width="9.140625" style="92"/>
    <col min="1865" max="1865" width="10.5703125" style="92" customWidth="1"/>
    <col min="1866" max="1870" width="9.140625" style="92"/>
    <col min="1871" max="1871" width="9" style="92" bestFit="1" customWidth="1"/>
    <col min="1872" max="1872" width="12.140625" style="92" customWidth="1"/>
    <col min="1873" max="1873" width="13.28515625" style="92" customWidth="1"/>
    <col min="1874" max="1874" width="9.140625" style="92"/>
    <col min="1875" max="1875" width="13.140625" style="92" customWidth="1"/>
    <col min="1876" max="1876" width="11.5703125" style="92" customWidth="1"/>
    <col min="1877" max="1877" width="15.42578125" style="92" bestFit="1" customWidth="1"/>
    <col min="1878" max="1895" width="9.140625" style="92"/>
    <col min="1896" max="1898" width="11.140625" style="92" customWidth="1"/>
    <col min="1899" max="1899" width="14.85546875" style="92" bestFit="1" customWidth="1"/>
    <col min="1900" max="1905" width="14.85546875" style="92" customWidth="1"/>
    <col min="1906" max="1909" width="11.140625" style="92" customWidth="1"/>
    <col min="1910" max="1910" width="11" style="92" customWidth="1"/>
    <col min="1911" max="1911" width="13.28515625" style="92" customWidth="1"/>
    <col min="1912" max="1912" width="12.42578125" style="92" customWidth="1"/>
    <col min="1913" max="1921" width="14.85546875" style="92" customWidth="1"/>
    <col min="1922" max="1922" width="13.140625" style="92" customWidth="1"/>
    <col min="1923" max="1923" width="13.7109375" style="92" customWidth="1"/>
    <col min="1924" max="1926" width="13.28515625" style="92" customWidth="1"/>
    <col min="1927" max="1927" width="15.7109375" style="92" customWidth="1"/>
    <col min="1928" max="1928" width="9.140625" style="92"/>
    <col min="1929" max="1929" width="10.28515625" style="92" bestFit="1" customWidth="1"/>
    <col min="1930" max="1930" width="11.5703125" style="92" bestFit="1" customWidth="1"/>
    <col min="1931" max="1931" width="9.140625" style="92" customWidth="1"/>
    <col min="1932" max="1932" width="10.42578125" style="92" customWidth="1"/>
    <col min="1933" max="1934" width="15.85546875" style="92" customWidth="1"/>
    <col min="1935" max="1936" width="16.85546875" style="92" customWidth="1"/>
    <col min="1937" max="1937" width="14.42578125" style="92" customWidth="1"/>
    <col min="1938" max="1939" width="14.28515625" style="92" customWidth="1"/>
    <col min="1940" max="1940" width="14.7109375" style="92" customWidth="1"/>
    <col min="1941" max="1941" width="15.7109375" style="92" customWidth="1"/>
    <col min="1942" max="1942" width="9.140625" style="92"/>
    <col min="1943" max="1943" width="10.28515625" style="92" bestFit="1" customWidth="1"/>
    <col min="1944" max="1944" width="9.140625" style="92"/>
    <col min="1945" max="1945" width="11.5703125" style="92" bestFit="1" customWidth="1"/>
    <col min="1946" max="1946" width="9.28515625" style="92" bestFit="1" customWidth="1"/>
    <col min="1947" max="1947" width="9.140625" style="92"/>
    <col min="1948" max="1948" width="11.7109375" style="92" customWidth="1"/>
    <col min="1949" max="1949" width="10.28515625" style="92" bestFit="1" customWidth="1"/>
    <col min="1950" max="1950" width="9.140625" style="92"/>
    <col min="1951" max="1951" width="11" style="92" bestFit="1" customWidth="1"/>
    <col min="1952" max="1952" width="10" style="92" bestFit="1" customWidth="1"/>
    <col min="1953" max="1953" width="10.28515625" style="92" bestFit="1" customWidth="1"/>
    <col min="1954" max="1954" width="9.28515625" style="92" bestFit="1" customWidth="1"/>
    <col min="1955" max="1955" width="11.28515625" style="92" bestFit="1" customWidth="1"/>
    <col min="1956" max="1956" width="9.42578125" style="92" bestFit="1" customWidth="1"/>
    <col min="1957" max="1957" width="8.140625" style="92" bestFit="1" customWidth="1"/>
    <col min="1958" max="1958" width="10" style="92" bestFit="1" customWidth="1"/>
    <col min="1959" max="1959" width="10.28515625" style="92" bestFit="1" customWidth="1"/>
    <col min="1960" max="1960" width="8.7109375" style="92" customWidth="1"/>
    <col min="1961" max="1961" width="10.28515625" style="92" bestFit="1" customWidth="1"/>
    <col min="1962" max="1962" width="11.28515625" style="92" bestFit="1" customWidth="1"/>
    <col min="1963" max="1963" width="10.85546875" style="92" bestFit="1" customWidth="1"/>
    <col min="1964" max="1964" width="9.85546875" style="92" bestFit="1" customWidth="1"/>
    <col min="1965" max="1966" width="9.140625" style="92"/>
    <col min="1967" max="1967" width="9.85546875" style="92" bestFit="1" customWidth="1"/>
    <col min="1968" max="1971" width="9.140625" style="92"/>
    <col min="1972" max="1972" width="13.5703125" style="92" bestFit="1" customWidth="1"/>
    <col min="1973" max="1973" width="10.28515625" style="92" bestFit="1" customWidth="1"/>
    <col min="1974" max="2088" width="9.140625" style="92"/>
    <col min="2089" max="2089" width="3.7109375" style="92" customWidth="1"/>
    <col min="2090" max="2090" width="26.5703125" style="92" customWidth="1"/>
    <col min="2091" max="2092" width="13.7109375" style="92" customWidth="1"/>
    <col min="2093" max="2093" width="11.42578125" style="92" customWidth="1"/>
    <col min="2094" max="2094" width="13.42578125" style="92" customWidth="1"/>
    <col min="2095" max="2095" width="11.140625" style="92" customWidth="1"/>
    <col min="2096" max="2096" width="10.28515625" style="92" customWidth="1"/>
    <col min="2097" max="2097" width="9.42578125" style="92" customWidth="1"/>
    <col min="2098" max="2098" width="8.140625" style="92" customWidth="1"/>
    <col min="2099" max="2099" width="11.42578125" style="92" customWidth="1"/>
    <col min="2100" max="2100" width="7.7109375" style="92" customWidth="1"/>
    <col min="2101" max="2101" width="9" style="92" customWidth="1"/>
    <col min="2102" max="2103" width="9.140625" style="92" customWidth="1"/>
    <col min="2104" max="2108" width="9.140625" style="92"/>
    <col min="2109" max="2109" width="9" style="92" customWidth="1"/>
    <col min="2110" max="2110" width="9.140625" style="92"/>
    <col min="2111" max="2111" width="15.140625" style="92" customWidth="1"/>
    <col min="2112" max="2120" width="9.140625" style="92"/>
    <col min="2121" max="2121" width="10.5703125" style="92" customWidth="1"/>
    <col min="2122" max="2126" width="9.140625" style="92"/>
    <col min="2127" max="2127" width="9" style="92" bestFit="1" customWidth="1"/>
    <col min="2128" max="2128" width="12.140625" style="92" customWidth="1"/>
    <col min="2129" max="2129" width="13.28515625" style="92" customWidth="1"/>
    <col min="2130" max="2130" width="9.140625" style="92"/>
    <col min="2131" max="2131" width="13.140625" style="92" customWidth="1"/>
    <col min="2132" max="2132" width="11.5703125" style="92" customWidth="1"/>
    <col min="2133" max="2133" width="15.42578125" style="92" bestFit="1" customWidth="1"/>
    <col min="2134" max="2151" width="9.140625" style="92"/>
    <col min="2152" max="2154" width="11.140625" style="92" customWidth="1"/>
    <col min="2155" max="2155" width="14.85546875" style="92" bestFit="1" customWidth="1"/>
    <col min="2156" max="2161" width="14.85546875" style="92" customWidth="1"/>
    <col min="2162" max="2165" width="11.140625" style="92" customWidth="1"/>
    <col min="2166" max="2166" width="11" style="92" customWidth="1"/>
    <col min="2167" max="2167" width="13.28515625" style="92" customWidth="1"/>
    <col min="2168" max="2168" width="12.42578125" style="92" customWidth="1"/>
    <col min="2169" max="2177" width="14.85546875" style="92" customWidth="1"/>
    <col min="2178" max="2178" width="13.140625" style="92" customWidth="1"/>
    <col min="2179" max="2179" width="13.7109375" style="92" customWidth="1"/>
    <col min="2180" max="2182" width="13.28515625" style="92" customWidth="1"/>
    <col min="2183" max="2183" width="15.7109375" style="92" customWidth="1"/>
    <col min="2184" max="2184" width="9.140625" style="92"/>
    <col min="2185" max="2185" width="10.28515625" style="92" bestFit="1" customWidth="1"/>
    <col min="2186" max="2186" width="11.5703125" style="92" bestFit="1" customWidth="1"/>
    <col min="2187" max="2187" width="9.140625" style="92" customWidth="1"/>
    <col min="2188" max="2188" width="10.42578125" style="92" customWidth="1"/>
    <col min="2189" max="2190" width="15.85546875" style="92" customWidth="1"/>
    <col min="2191" max="2192" width="16.85546875" style="92" customWidth="1"/>
    <col min="2193" max="2193" width="14.42578125" style="92" customWidth="1"/>
    <col min="2194" max="2195" width="14.28515625" style="92" customWidth="1"/>
    <col min="2196" max="2196" width="14.7109375" style="92" customWidth="1"/>
    <col min="2197" max="2197" width="15.7109375" style="92" customWidth="1"/>
    <col min="2198" max="2198" width="9.140625" style="92"/>
    <col min="2199" max="2199" width="10.28515625" style="92" bestFit="1" customWidth="1"/>
    <col min="2200" max="2200" width="9.140625" style="92"/>
    <col min="2201" max="2201" width="11.5703125" style="92" bestFit="1" customWidth="1"/>
    <col min="2202" max="2202" width="9.28515625" style="92" bestFit="1" customWidth="1"/>
    <col min="2203" max="2203" width="9.140625" style="92"/>
    <col min="2204" max="2204" width="11.7109375" style="92" customWidth="1"/>
    <col min="2205" max="2205" width="10.28515625" style="92" bestFit="1" customWidth="1"/>
    <col min="2206" max="2206" width="9.140625" style="92"/>
    <col min="2207" max="2207" width="11" style="92" bestFit="1" customWidth="1"/>
    <col min="2208" max="2208" width="10" style="92" bestFit="1" customWidth="1"/>
    <col min="2209" max="2209" width="10.28515625" style="92" bestFit="1" customWidth="1"/>
    <col min="2210" max="2210" width="9.28515625" style="92" bestFit="1" customWidth="1"/>
    <col min="2211" max="2211" width="11.28515625" style="92" bestFit="1" customWidth="1"/>
    <col min="2212" max="2212" width="9.42578125" style="92" bestFit="1" customWidth="1"/>
    <col min="2213" max="2213" width="8.140625" style="92" bestFit="1" customWidth="1"/>
    <col min="2214" max="2214" width="10" style="92" bestFit="1" customWidth="1"/>
    <col min="2215" max="2215" width="10.28515625" style="92" bestFit="1" customWidth="1"/>
    <col min="2216" max="2216" width="8.7109375" style="92" customWidth="1"/>
    <col min="2217" max="2217" width="10.28515625" style="92" bestFit="1" customWidth="1"/>
    <col min="2218" max="2218" width="11.28515625" style="92" bestFit="1" customWidth="1"/>
    <col min="2219" max="2219" width="10.85546875" style="92" bestFit="1" customWidth="1"/>
    <col min="2220" max="2220" width="9.85546875" style="92" bestFit="1" customWidth="1"/>
    <col min="2221" max="2222" width="9.140625" style="92"/>
    <col min="2223" max="2223" width="9.85546875" style="92" bestFit="1" customWidth="1"/>
    <col min="2224" max="2227" width="9.140625" style="92"/>
    <col min="2228" max="2228" width="13.5703125" style="92" bestFit="1" customWidth="1"/>
    <col min="2229" max="2229" width="10.28515625" style="92" bestFit="1" customWidth="1"/>
    <col min="2230" max="2344" width="9.140625" style="92"/>
    <col min="2345" max="2345" width="3.7109375" style="92" customWidth="1"/>
    <col min="2346" max="2346" width="26.5703125" style="92" customWidth="1"/>
    <col min="2347" max="2348" width="13.7109375" style="92" customWidth="1"/>
    <col min="2349" max="2349" width="11.42578125" style="92" customWidth="1"/>
    <col min="2350" max="2350" width="13.42578125" style="92" customWidth="1"/>
    <col min="2351" max="2351" width="11.140625" style="92" customWidth="1"/>
    <col min="2352" max="2352" width="10.28515625" style="92" customWidth="1"/>
    <col min="2353" max="2353" width="9.42578125" style="92" customWidth="1"/>
    <col min="2354" max="2354" width="8.140625" style="92" customWidth="1"/>
    <col min="2355" max="2355" width="11.42578125" style="92" customWidth="1"/>
    <col min="2356" max="2356" width="7.7109375" style="92" customWidth="1"/>
    <col min="2357" max="2357" width="9" style="92" customWidth="1"/>
    <col min="2358" max="2359" width="9.140625" style="92" customWidth="1"/>
    <col min="2360" max="2364" width="9.140625" style="92"/>
    <col min="2365" max="2365" width="9" style="92" customWidth="1"/>
    <col min="2366" max="2366" width="9.140625" style="92"/>
    <col min="2367" max="2367" width="15.140625" style="92" customWidth="1"/>
    <col min="2368" max="2376" width="9.140625" style="92"/>
    <col min="2377" max="2377" width="10.5703125" style="92" customWidth="1"/>
    <col min="2378" max="2382" width="9.140625" style="92"/>
    <col min="2383" max="2383" width="9" style="92" bestFit="1" customWidth="1"/>
    <col min="2384" max="2384" width="12.140625" style="92" customWidth="1"/>
    <col min="2385" max="2385" width="13.28515625" style="92" customWidth="1"/>
    <col min="2386" max="2386" width="9.140625" style="92"/>
    <col min="2387" max="2387" width="13.140625" style="92" customWidth="1"/>
    <col min="2388" max="2388" width="11.5703125" style="92" customWidth="1"/>
    <col min="2389" max="2389" width="15.42578125" style="92" bestFit="1" customWidth="1"/>
    <col min="2390" max="2407" width="9.140625" style="92"/>
    <col min="2408" max="2410" width="11.140625" style="92" customWidth="1"/>
    <col min="2411" max="2411" width="14.85546875" style="92" bestFit="1" customWidth="1"/>
    <col min="2412" max="2417" width="14.85546875" style="92" customWidth="1"/>
    <col min="2418" max="2421" width="11.140625" style="92" customWidth="1"/>
    <col min="2422" max="2422" width="11" style="92" customWidth="1"/>
    <col min="2423" max="2423" width="13.28515625" style="92" customWidth="1"/>
    <col min="2424" max="2424" width="12.42578125" style="92" customWidth="1"/>
    <col min="2425" max="2433" width="14.85546875" style="92" customWidth="1"/>
    <col min="2434" max="2434" width="13.140625" style="92" customWidth="1"/>
    <col min="2435" max="2435" width="13.7109375" style="92" customWidth="1"/>
    <col min="2436" max="2438" width="13.28515625" style="92" customWidth="1"/>
    <col min="2439" max="2439" width="15.7109375" style="92" customWidth="1"/>
    <col min="2440" max="2440" width="9.140625" style="92"/>
    <col min="2441" max="2441" width="10.28515625" style="92" bestFit="1" customWidth="1"/>
    <col min="2442" max="2442" width="11.5703125" style="92" bestFit="1" customWidth="1"/>
    <col min="2443" max="2443" width="9.140625" style="92" customWidth="1"/>
    <col min="2444" max="2444" width="10.42578125" style="92" customWidth="1"/>
    <col min="2445" max="2446" width="15.85546875" style="92" customWidth="1"/>
    <col min="2447" max="2448" width="16.85546875" style="92" customWidth="1"/>
    <col min="2449" max="2449" width="14.42578125" style="92" customWidth="1"/>
    <col min="2450" max="2451" width="14.28515625" style="92" customWidth="1"/>
    <col min="2452" max="2452" width="14.7109375" style="92" customWidth="1"/>
    <col min="2453" max="2453" width="15.7109375" style="92" customWidth="1"/>
    <col min="2454" max="2454" width="9.140625" style="92"/>
    <col min="2455" max="2455" width="10.28515625" style="92" bestFit="1" customWidth="1"/>
    <col min="2456" max="2456" width="9.140625" style="92"/>
    <col min="2457" max="2457" width="11.5703125" style="92" bestFit="1" customWidth="1"/>
    <col min="2458" max="2458" width="9.28515625" style="92" bestFit="1" customWidth="1"/>
    <col min="2459" max="2459" width="9.140625" style="92"/>
    <col min="2460" max="2460" width="11.7109375" style="92" customWidth="1"/>
    <col min="2461" max="2461" width="10.28515625" style="92" bestFit="1" customWidth="1"/>
    <col min="2462" max="2462" width="9.140625" style="92"/>
    <col min="2463" max="2463" width="11" style="92" bestFit="1" customWidth="1"/>
    <col min="2464" max="2464" width="10" style="92" bestFit="1" customWidth="1"/>
    <col min="2465" max="2465" width="10.28515625" style="92" bestFit="1" customWidth="1"/>
    <col min="2466" max="2466" width="9.28515625" style="92" bestFit="1" customWidth="1"/>
    <col min="2467" max="2467" width="11.28515625" style="92" bestFit="1" customWidth="1"/>
    <col min="2468" max="2468" width="9.42578125" style="92" bestFit="1" customWidth="1"/>
    <col min="2469" max="2469" width="8.140625" style="92" bestFit="1" customWidth="1"/>
    <col min="2470" max="2470" width="10" style="92" bestFit="1" customWidth="1"/>
    <col min="2471" max="2471" width="10.28515625" style="92" bestFit="1" customWidth="1"/>
    <col min="2472" max="2472" width="8.7109375" style="92" customWidth="1"/>
    <col min="2473" max="2473" width="10.28515625" style="92" bestFit="1" customWidth="1"/>
    <col min="2474" max="2474" width="11.28515625" style="92" bestFit="1" customWidth="1"/>
    <col min="2475" max="2475" width="10.85546875" style="92" bestFit="1" customWidth="1"/>
    <col min="2476" max="2476" width="9.85546875" style="92" bestFit="1" customWidth="1"/>
    <col min="2477" max="2478" width="9.140625" style="92"/>
    <col min="2479" max="2479" width="9.85546875" style="92" bestFit="1" customWidth="1"/>
    <col min="2480" max="2483" width="9.140625" style="92"/>
    <col min="2484" max="2484" width="13.5703125" style="92" bestFit="1" customWidth="1"/>
    <col min="2485" max="2485" width="10.28515625" style="92" bestFit="1" customWidth="1"/>
    <col min="2486" max="2600" width="9.140625" style="92"/>
    <col min="2601" max="2601" width="3.7109375" style="92" customWidth="1"/>
    <col min="2602" max="2602" width="26.5703125" style="92" customWidth="1"/>
    <col min="2603" max="2604" width="13.7109375" style="92" customWidth="1"/>
    <col min="2605" max="2605" width="11.42578125" style="92" customWidth="1"/>
    <col min="2606" max="2606" width="13.42578125" style="92" customWidth="1"/>
    <col min="2607" max="2607" width="11.140625" style="92" customWidth="1"/>
    <col min="2608" max="2608" width="10.28515625" style="92" customWidth="1"/>
    <col min="2609" max="2609" width="9.42578125" style="92" customWidth="1"/>
    <col min="2610" max="2610" width="8.140625" style="92" customWidth="1"/>
    <col min="2611" max="2611" width="11.42578125" style="92" customWidth="1"/>
    <col min="2612" max="2612" width="7.7109375" style="92" customWidth="1"/>
    <col min="2613" max="2613" width="9" style="92" customWidth="1"/>
    <col min="2614" max="2615" width="9.140625" style="92" customWidth="1"/>
    <col min="2616" max="2620" width="9.140625" style="92"/>
    <col min="2621" max="2621" width="9" style="92" customWidth="1"/>
    <col min="2622" max="2622" width="9.140625" style="92"/>
    <col min="2623" max="2623" width="15.140625" style="92" customWidth="1"/>
    <col min="2624" max="2632" width="9.140625" style="92"/>
    <col min="2633" max="2633" width="10.5703125" style="92" customWidth="1"/>
    <col min="2634" max="2638" width="9.140625" style="92"/>
    <col min="2639" max="2639" width="9" style="92" bestFit="1" customWidth="1"/>
    <col min="2640" max="2640" width="12.140625" style="92" customWidth="1"/>
    <col min="2641" max="2641" width="13.28515625" style="92" customWidth="1"/>
    <col min="2642" max="2642" width="9.140625" style="92"/>
    <col min="2643" max="2643" width="13.140625" style="92" customWidth="1"/>
    <col min="2644" max="2644" width="11.5703125" style="92" customWidth="1"/>
    <col min="2645" max="2645" width="15.42578125" style="92" bestFit="1" customWidth="1"/>
    <col min="2646" max="2663" width="9.140625" style="92"/>
    <col min="2664" max="2666" width="11.140625" style="92" customWidth="1"/>
    <col min="2667" max="2667" width="14.85546875" style="92" bestFit="1" customWidth="1"/>
    <col min="2668" max="2673" width="14.85546875" style="92" customWidth="1"/>
    <col min="2674" max="2677" width="11.140625" style="92" customWidth="1"/>
    <col min="2678" max="2678" width="11" style="92" customWidth="1"/>
    <col min="2679" max="2679" width="13.28515625" style="92" customWidth="1"/>
    <col min="2680" max="2680" width="12.42578125" style="92" customWidth="1"/>
    <col min="2681" max="2689" width="14.85546875" style="92" customWidth="1"/>
    <col min="2690" max="2690" width="13.140625" style="92" customWidth="1"/>
    <col min="2691" max="2691" width="13.7109375" style="92" customWidth="1"/>
    <col min="2692" max="2694" width="13.28515625" style="92" customWidth="1"/>
    <col min="2695" max="2695" width="15.7109375" style="92" customWidth="1"/>
    <col min="2696" max="2696" width="9.140625" style="92"/>
    <col min="2697" max="2697" width="10.28515625" style="92" bestFit="1" customWidth="1"/>
    <col min="2698" max="2698" width="11.5703125" style="92" bestFit="1" customWidth="1"/>
    <col min="2699" max="2699" width="9.140625" style="92" customWidth="1"/>
    <col min="2700" max="2700" width="10.42578125" style="92" customWidth="1"/>
    <col min="2701" max="2702" width="15.85546875" style="92" customWidth="1"/>
    <col min="2703" max="2704" width="16.85546875" style="92" customWidth="1"/>
    <col min="2705" max="2705" width="14.42578125" style="92" customWidth="1"/>
    <col min="2706" max="2707" width="14.28515625" style="92" customWidth="1"/>
    <col min="2708" max="2708" width="14.7109375" style="92" customWidth="1"/>
    <col min="2709" max="2709" width="15.7109375" style="92" customWidth="1"/>
    <col min="2710" max="2710" width="9.140625" style="92"/>
    <col min="2711" max="2711" width="10.28515625" style="92" bestFit="1" customWidth="1"/>
    <col min="2712" max="2712" width="9.140625" style="92"/>
    <col min="2713" max="2713" width="11.5703125" style="92" bestFit="1" customWidth="1"/>
    <col min="2714" max="2714" width="9.28515625" style="92" bestFit="1" customWidth="1"/>
    <col min="2715" max="2715" width="9.140625" style="92"/>
    <col min="2716" max="2716" width="11.7109375" style="92" customWidth="1"/>
    <col min="2717" max="2717" width="10.28515625" style="92" bestFit="1" customWidth="1"/>
    <col min="2718" max="2718" width="9.140625" style="92"/>
    <col min="2719" max="2719" width="11" style="92" bestFit="1" customWidth="1"/>
    <col min="2720" max="2720" width="10" style="92" bestFit="1" customWidth="1"/>
    <col min="2721" max="2721" width="10.28515625" style="92" bestFit="1" customWidth="1"/>
    <col min="2722" max="2722" width="9.28515625" style="92" bestFit="1" customWidth="1"/>
    <col min="2723" max="2723" width="11.28515625" style="92" bestFit="1" customWidth="1"/>
    <col min="2724" max="2724" width="9.42578125" style="92" bestFit="1" customWidth="1"/>
    <col min="2725" max="2725" width="8.140625" style="92" bestFit="1" customWidth="1"/>
    <col min="2726" max="2726" width="10" style="92" bestFit="1" customWidth="1"/>
    <col min="2727" max="2727" width="10.28515625" style="92" bestFit="1" customWidth="1"/>
    <col min="2728" max="2728" width="8.7109375" style="92" customWidth="1"/>
    <col min="2729" max="2729" width="10.28515625" style="92" bestFit="1" customWidth="1"/>
    <col min="2730" max="2730" width="11.28515625" style="92" bestFit="1" customWidth="1"/>
    <col min="2731" max="2731" width="10.85546875" style="92" bestFit="1" customWidth="1"/>
    <col min="2732" max="2732" width="9.85546875" style="92" bestFit="1" customWidth="1"/>
    <col min="2733" max="2734" width="9.140625" style="92"/>
    <col min="2735" max="2735" width="9.85546875" style="92" bestFit="1" customWidth="1"/>
    <col min="2736" max="2739" width="9.140625" style="92"/>
    <col min="2740" max="2740" width="13.5703125" style="92" bestFit="1" customWidth="1"/>
    <col min="2741" max="2741" width="10.28515625" style="92" bestFit="1" customWidth="1"/>
    <col min="2742" max="2856" width="9.140625" style="92"/>
    <col min="2857" max="2857" width="3.7109375" style="92" customWidth="1"/>
    <col min="2858" max="2858" width="26.5703125" style="92" customWidth="1"/>
    <col min="2859" max="2860" width="13.7109375" style="92" customWidth="1"/>
    <col min="2861" max="2861" width="11.42578125" style="92" customWidth="1"/>
    <col min="2862" max="2862" width="13.42578125" style="92" customWidth="1"/>
    <col min="2863" max="2863" width="11.140625" style="92" customWidth="1"/>
    <col min="2864" max="2864" width="10.28515625" style="92" customWidth="1"/>
    <col min="2865" max="2865" width="9.42578125" style="92" customWidth="1"/>
    <col min="2866" max="2866" width="8.140625" style="92" customWidth="1"/>
    <col min="2867" max="2867" width="11.42578125" style="92" customWidth="1"/>
    <col min="2868" max="2868" width="7.7109375" style="92" customWidth="1"/>
    <col min="2869" max="2869" width="9" style="92" customWidth="1"/>
    <col min="2870" max="2871" width="9.140625" style="92" customWidth="1"/>
    <col min="2872" max="2876" width="9.140625" style="92"/>
    <col min="2877" max="2877" width="9" style="92" customWidth="1"/>
    <col min="2878" max="2878" width="9.140625" style="92"/>
    <col min="2879" max="2879" width="15.140625" style="92" customWidth="1"/>
    <col min="2880" max="2888" width="9.140625" style="92"/>
    <col min="2889" max="2889" width="10.5703125" style="92" customWidth="1"/>
    <col min="2890" max="2894" width="9.140625" style="92"/>
    <col min="2895" max="2895" width="9" style="92" bestFit="1" customWidth="1"/>
    <col min="2896" max="2896" width="12.140625" style="92" customWidth="1"/>
    <col min="2897" max="2897" width="13.28515625" style="92" customWidth="1"/>
    <col min="2898" max="2898" width="9.140625" style="92"/>
    <col min="2899" max="2899" width="13.140625" style="92" customWidth="1"/>
    <col min="2900" max="2900" width="11.5703125" style="92" customWidth="1"/>
    <col min="2901" max="2901" width="15.42578125" style="92" bestFit="1" customWidth="1"/>
    <col min="2902" max="2919" width="9.140625" style="92"/>
    <col min="2920" max="2922" width="11.140625" style="92" customWidth="1"/>
    <col min="2923" max="2923" width="14.85546875" style="92" bestFit="1" customWidth="1"/>
    <col min="2924" max="2929" width="14.85546875" style="92" customWidth="1"/>
    <col min="2930" max="2933" width="11.140625" style="92" customWidth="1"/>
    <col min="2934" max="2934" width="11" style="92" customWidth="1"/>
    <col min="2935" max="2935" width="13.28515625" style="92" customWidth="1"/>
    <col min="2936" max="2936" width="12.42578125" style="92" customWidth="1"/>
    <col min="2937" max="2945" width="14.85546875" style="92" customWidth="1"/>
    <col min="2946" max="2946" width="13.140625" style="92" customWidth="1"/>
    <col min="2947" max="2947" width="13.7109375" style="92" customWidth="1"/>
    <col min="2948" max="2950" width="13.28515625" style="92" customWidth="1"/>
    <col min="2951" max="2951" width="15.7109375" style="92" customWidth="1"/>
    <col min="2952" max="2952" width="9.140625" style="92"/>
    <col min="2953" max="2953" width="10.28515625" style="92" bestFit="1" customWidth="1"/>
    <col min="2954" max="2954" width="11.5703125" style="92" bestFit="1" customWidth="1"/>
    <col min="2955" max="2955" width="9.140625" style="92" customWidth="1"/>
    <col min="2956" max="2956" width="10.42578125" style="92" customWidth="1"/>
    <col min="2957" max="2958" width="15.85546875" style="92" customWidth="1"/>
    <col min="2959" max="2960" width="16.85546875" style="92" customWidth="1"/>
    <col min="2961" max="2961" width="14.42578125" style="92" customWidth="1"/>
    <col min="2962" max="2963" width="14.28515625" style="92" customWidth="1"/>
    <col min="2964" max="2964" width="14.7109375" style="92" customWidth="1"/>
    <col min="2965" max="2965" width="15.7109375" style="92" customWidth="1"/>
    <col min="2966" max="2966" width="9.140625" style="92"/>
    <col min="2967" max="2967" width="10.28515625" style="92" bestFit="1" customWidth="1"/>
    <col min="2968" max="2968" width="9.140625" style="92"/>
    <col min="2969" max="2969" width="11.5703125" style="92" bestFit="1" customWidth="1"/>
    <col min="2970" max="2970" width="9.28515625" style="92" bestFit="1" customWidth="1"/>
    <col min="2971" max="2971" width="9.140625" style="92"/>
    <col min="2972" max="2972" width="11.7109375" style="92" customWidth="1"/>
    <col min="2973" max="2973" width="10.28515625" style="92" bestFit="1" customWidth="1"/>
    <col min="2974" max="2974" width="9.140625" style="92"/>
    <col min="2975" max="2975" width="11" style="92" bestFit="1" customWidth="1"/>
    <col min="2976" max="2976" width="10" style="92" bestFit="1" customWidth="1"/>
    <col min="2977" max="2977" width="10.28515625" style="92" bestFit="1" customWidth="1"/>
    <col min="2978" max="2978" width="9.28515625" style="92" bestFit="1" customWidth="1"/>
    <col min="2979" max="2979" width="11.28515625" style="92" bestFit="1" customWidth="1"/>
    <col min="2980" max="2980" width="9.42578125" style="92" bestFit="1" customWidth="1"/>
    <col min="2981" max="2981" width="8.140625" style="92" bestFit="1" customWidth="1"/>
    <col min="2982" max="2982" width="10" style="92" bestFit="1" customWidth="1"/>
    <col min="2983" max="2983" width="10.28515625" style="92" bestFit="1" customWidth="1"/>
    <col min="2984" max="2984" width="8.7109375" style="92" customWidth="1"/>
    <col min="2985" max="2985" width="10.28515625" style="92" bestFit="1" customWidth="1"/>
    <col min="2986" max="2986" width="11.28515625" style="92" bestFit="1" customWidth="1"/>
    <col min="2987" max="2987" width="10.85546875" style="92" bestFit="1" customWidth="1"/>
    <col min="2988" max="2988" width="9.85546875" style="92" bestFit="1" customWidth="1"/>
    <col min="2989" max="2990" width="9.140625" style="92"/>
    <col min="2991" max="2991" width="9.85546875" style="92" bestFit="1" customWidth="1"/>
    <col min="2992" max="2995" width="9.140625" style="92"/>
    <col min="2996" max="2996" width="13.5703125" style="92" bestFit="1" customWidth="1"/>
    <col min="2997" max="2997" width="10.28515625" style="92" bestFit="1" customWidth="1"/>
    <col min="2998" max="3112" width="9.140625" style="92"/>
    <col min="3113" max="3113" width="3.7109375" style="92" customWidth="1"/>
    <col min="3114" max="3114" width="26.5703125" style="92" customWidth="1"/>
    <col min="3115" max="3116" width="13.7109375" style="92" customWidth="1"/>
    <col min="3117" max="3117" width="11.42578125" style="92" customWidth="1"/>
    <col min="3118" max="3118" width="13.42578125" style="92" customWidth="1"/>
    <col min="3119" max="3119" width="11.140625" style="92" customWidth="1"/>
    <col min="3120" max="3120" width="10.28515625" style="92" customWidth="1"/>
    <col min="3121" max="3121" width="9.42578125" style="92" customWidth="1"/>
    <col min="3122" max="3122" width="8.140625" style="92" customWidth="1"/>
    <col min="3123" max="3123" width="11.42578125" style="92" customWidth="1"/>
    <col min="3124" max="3124" width="7.7109375" style="92" customWidth="1"/>
    <col min="3125" max="3125" width="9" style="92" customWidth="1"/>
    <col min="3126" max="3127" width="9.140625" style="92" customWidth="1"/>
    <col min="3128" max="3132" width="9.140625" style="92"/>
    <col min="3133" max="3133" width="9" style="92" customWidth="1"/>
    <col min="3134" max="3134" width="9.140625" style="92"/>
    <col min="3135" max="3135" width="15.140625" style="92" customWidth="1"/>
    <col min="3136" max="3144" width="9.140625" style="92"/>
    <col min="3145" max="3145" width="10.5703125" style="92" customWidth="1"/>
    <col min="3146" max="3150" width="9.140625" style="92"/>
    <col min="3151" max="3151" width="9" style="92" bestFit="1" customWidth="1"/>
    <col min="3152" max="3152" width="12.140625" style="92" customWidth="1"/>
    <col min="3153" max="3153" width="13.28515625" style="92" customWidth="1"/>
    <col min="3154" max="3154" width="9.140625" style="92"/>
    <col min="3155" max="3155" width="13.140625" style="92" customWidth="1"/>
    <col min="3156" max="3156" width="11.5703125" style="92" customWidth="1"/>
    <col min="3157" max="3157" width="15.42578125" style="92" bestFit="1" customWidth="1"/>
    <col min="3158" max="3175" width="9.140625" style="92"/>
    <col min="3176" max="3178" width="11.140625" style="92" customWidth="1"/>
    <col min="3179" max="3179" width="14.85546875" style="92" bestFit="1" customWidth="1"/>
    <col min="3180" max="3185" width="14.85546875" style="92" customWidth="1"/>
    <col min="3186" max="3189" width="11.140625" style="92" customWidth="1"/>
    <col min="3190" max="3190" width="11" style="92" customWidth="1"/>
    <col min="3191" max="3191" width="13.28515625" style="92" customWidth="1"/>
    <col min="3192" max="3192" width="12.42578125" style="92" customWidth="1"/>
    <col min="3193" max="3201" width="14.85546875" style="92" customWidth="1"/>
    <col min="3202" max="3202" width="13.140625" style="92" customWidth="1"/>
    <col min="3203" max="3203" width="13.7109375" style="92" customWidth="1"/>
    <col min="3204" max="3206" width="13.28515625" style="92" customWidth="1"/>
    <col min="3207" max="3207" width="15.7109375" style="92" customWidth="1"/>
    <col min="3208" max="3208" width="9.140625" style="92"/>
    <col min="3209" max="3209" width="10.28515625" style="92" bestFit="1" customWidth="1"/>
    <col min="3210" max="3210" width="11.5703125" style="92" bestFit="1" customWidth="1"/>
    <col min="3211" max="3211" width="9.140625" style="92" customWidth="1"/>
    <col min="3212" max="3212" width="10.42578125" style="92" customWidth="1"/>
    <col min="3213" max="3214" width="15.85546875" style="92" customWidth="1"/>
    <col min="3215" max="3216" width="16.85546875" style="92" customWidth="1"/>
    <col min="3217" max="3217" width="14.42578125" style="92" customWidth="1"/>
    <col min="3218" max="3219" width="14.28515625" style="92" customWidth="1"/>
    <col min="3220" max="3220" width="14.7109375" style="92" customWidth="1"/>
    <col min="3221" max="3221" width="15.7109375" style="92" customWidth="1"/>
    <col min="3222" max="3222" width="9.140625" style="92"/>
    <col min="3223" max="3223" width="10.28515625" style="92" bestFit="1" customWidth="1"/>
    <col min="3224" max="3224" width="9.140625" style="92"/>
    <col min="3225" max="3225" width="11.5703125" style="92" bestFit="1" customWidth="1"/>
    <col min="3226" max="3226" width="9.28515625" style="92" bestFit="1" customWidth="1"/>
    <col min="3227" max="3227" width="9.140625" style="92"/>
    <col min="3228" max="3228" width="11.7109375" style="92" customWidth="1"/>
    <col min="3229" max="3229" width="10.28515625" style="92" bestFit="1" customWidth="1"/>
    <col min="3230" max="3230" width="9.140625" style="92"/>
    <col min="3231" max="3231" width="11" style="92" bestFit="1" customWidth="1"/>
    <col min="3232" max="3232" width="10" style="92" bestFit="1" customWidth="1"/>
    <col min="3233" max="3233" width="10.28515625" style="92" bestFit="1" customWidth="1"/>
    <col min="3234" max="3234" width="9.28515625" style="92" bestFit="1" customWidth="1"/>
    <col min="3235" max="3235" width="11.28515625" style="92" bestFit="1" customWidth="1"/>
    <col min="3236" max="3236" width="9.42578125" style="92" bestFit="1" customWidth="1"/>
    <col min="3237" max="3237" width="8.140625" style="92" bestFit="1" customWidth="1"/>
    <col min="3238" max="3238" width="10" style="92" bestFit="1" customWidth="1"/>
    <col min="3239" max="3239" width="10.28515625" style="92" bestFit="1" customWidth="1"/>
    <col min="3240" max="3240" width="8.7109375" style="92" customWidth="1"/>
    <col min="3241" max="3241" width="10.28515625" style="92" bestFit="1" customWidth="1"/>
    <col min="3242" max="3242" width="11.28515625" style="92" bestFit="1" customWidth="1"/>
    <col min="3243" max="3243" width="10.85546875" style="92" bestFit="1" customWidth="1"/>
    <col min="3244" max="3244" width="9.85546875" style="92" bestFit="1" customWidth="1"/>
    <col min="3245" max="3246" width="9.140625" style="92"/>
    <col min="3247" max="3247" width="9.85546875" style="92" bestFit="1" customWidth="1"/>
    <col min="3248" max="3251" width="9.140625" style="92"/>
    <col min="3252" max="3252" width="13.5703125" style="92" bestFit="1" customWidth="1"/>
    <col min="3253" max="3253" width="10.28515625" style="92" bestFit="1" customWidth="1"/>
    <col min="3254" max="3368" width="9.140625" style="92"/>
    <col min="3369" max="3369" width="3.7109375" style="92" customWidth="1"/>
    <col min="3370" max="3370" width="26.5703125" style="92" customWidth="1"/>
    <col min="3371" max="3372" width="13.7109375" style="92" customWidth="1"/>
    <col min="3373" max="3373" width="11.42578125" style="92" customWidth="1"/>
    <col min="3374" max="3374" width="13.42578125" style="92" customWidth="1"/>
    <col min="3375" max="3375" width="11.140625" style="92" customWidth="1"/>
    <col min="3376" max="3376" width="10.28515625" style="92" customWidth="1"/>
    <col min="3377" max="3377" width="9.42578125" style="92" customWidth="1"/>
    <col min="3378" max="3378" width="8.140625" style="92" customWidth="1"/>
    <col min="3379" max="3379" width="11.42578125" style="92" customWidth="1"/>
    <col min="3380" max="3380" width="7.7109375" style="92" customWidth="1"/>
    <col min="3381" max="3381" width="9" style="92" customWidth="1"/>
    <col min="3382" max="3383" width="9.140625" style="92" customWidth="1"/>
    <col min="3384" max="3388" width="9.140625" style="92"/>
    <col min="3389" max="3389" width="9" style="92" customWidth="1"/>
    <col min="3390" max="3390" width="9.140625" style="92"/>
    <col min="3391" max="3391" width="15.140625" style="92" customWidth="1"/>
    <col min="3392" max="3400" width="9.140625" style="92"/>
    <col min="3401" max="3401" width="10.5703125" style="92" customWidth="1"/>
    <col min="3402" max="3406" width="9.140625" style="92"/>
    <col min="3407" max="3407" width="9" style="92" bestFit="1" customWidth="1"/>
    <col min="3408" max="3408" width="12.140625" style="92" customWidth="1"/>
    <col min="3409" max="3409" width="13.28515625" style="92" customWidth="1"/>
    <col min="3410" max="3410" width="9.140625" style="92"/>
    <col min="3411" max="3411" width="13.140625" style="92" customWidth="1"/>
    <col min="3412" max="3412" width="11.5703125" style="92" customWidth="1"/>
    <col min="3413" max="3413" width="15.42578125" style="92" bestFit="1" customWidth="1"/>
    <col min="3414" max="3431" width="9.140625" style="92"/>
    <col min="3432" max="3434" width="11.140625" style="92" customWidth="1"/>
    <col min="3435" max="3435" width="14.85546875" style="92" bestFit="1" customWidth="1"/>
    <col min="3436" max="3441" width="14.85546875" style="92" customWidth="1"/>
    <col min="3442" max="3445" width="11.140625" style="92" customWidth="1"/>
    <col min="3446" max="3446" width="11" style="92" customWidth="1"/>
    <col min="3447" max="3447" width="13.28515625" style="92" customWidth="1"/>
    <col min="3448" max="3448" width="12.42578125" style="92" customWidth="1"/>
    <col min="3449" max="3457" width="14.85546875" style="92" customWidth="1"/>
    <col min="3458" max="3458" width="13.140625" style="92" customWidth="1"/>
    <col min="3459" max="3459" width="13.7109375" style="92" customWidth="1"/>
    <col min="3460" max="3462" width="13.28515625" style="92" customWidth="1"/>
    <col min="3463" max="3463" width="15.7109375" style="92" customWidth="1"/>
    <col min="3464" max="3464" width="9.140625" style="92"/>
    <col min="3465" max="3465" width="10.28515625" style="92" bestFit="1" customWidth="1"/>
    <col min="3466" max="3466" width="11.5703125" style="92" bestFit="1" customWidth="1"/>
    <col min="3467" max="3467" width="9.140625" style="92" customWidth="1"/>
    <col min="3468" max="3468" width="10.42578125" style="92" customWidth="1"/>
    <col min="3469" max="3470" width="15.85546875" style="92" customWidth="1"/>
    <col min="3471" max="3472" width="16.85546875" style="92" customWidth="1"/>
    <col min="3473" max="3473" width="14.42578125" style="92" customWidth="1"/>
    <col min="3474" max="3475" width="14.28515625" style="92" customWidth="1"/>
    <col min="3476" max="3476" width="14.7109375" style="92" customWidth="1"/>
    <col min="3477" max="3477" width="15.7109375" style="92" customWidth="1"/>
    <col min="3478" max="3478" width="9.140625" style="92"/>
    <col min="3479" max="3479" width="10.28515625" style="92" bestFit="1" customWidth="1"/>
    <col min="3480" max="3480" width="9.140625" style="92"/>
    <col min="3481" max="3481" width="11.5703125" style="92" bestFit="1" customWidth="1"/>
    <col min="3482" max="3482" width="9.28515625" style="92" bestFit="1" customWidth="1"/>
    <col min="3483" max="3483" width="9.140625" style="92"/>
    <col min="3484" max="3484" width="11.7109375" style="92" customWidth="1"/>
    <col min="3485" max="3485" width="10.28515625" style="92" bestFit="1" customWidth="1"/>
    <col min="3486" max="3486" width="9.140625" style="92"/>
    <col min="3487" max="3487" width="11" style="92" bestFit="1" customWidth="1"/>
    <col min="3488" max="3488" width="10" style="92" bestFit="1" customWidth="1"/>
    <col min="3489" max="3489" width="10.28515625" style="92" bestFit="1" customWidth="1"/>
    <col min="3490" max="3490" width="9.28515625" style="92" bestFit="1" customWidth="1"/>
    <col min="3491" max="3491" width="11.28515625" style="92" bestFit="1" customWidth="1"/>
    <col min="3492" max="3492" width="9.42578125" style="92" bestFit="1" customWidth="1"/>
    <col min="3493" max="3493" width="8.140625" style="92" bestFit="1" customWidth="1"/>
    <col min="3494" max="3494" width="10" style="92" bestFit="1" customWidth="1"/>
    <col min="3495" max="3495" width="10.28515625" style="92" bestFit="1" customWidth="1"/>
    <col min="3496" max="3496" width="8.7109375" style="92" customWidth="1"/>
    <col min="3497" max="3497" width="10.28515625" style="92" bestFit="1" customWidth="1"/>
    <col min="3498" max="3498" width="11.28515625" style="92" bestFit="1" customWidth="1"/>
    <col min="3499" max="3499" width="10.85546875" style="92" bestFit="1" customWidth="1"/>
    <col min="3500" max="3500" width="9.85546875" style="92" bestFit="1" customWidth="1"/>
    <col min="3501" max="3502" width="9.140625" style="92"/>
    <col min="3503" max="3503" width="9.85546875" style="92" bestFit="1" customWidth="1"/>
    <col min="3504" max="3507" width="9.140625" style="92"/>
    <col min="3508" max="3508" width="13.5703125" style="92" bestFit="1" customWidth="1"/>
    <col min="3509" max="3509" width="10.28515625" style="92" bestFit="1" customWidth="1"/>
    <col min="3510" max="3624" width="9.140625" style="92"/>
    <col min="3625" max="3625" width="3.7109375" style="92" customWidth="1"/>
    <col min="3626" max="3626" width="26.5703125" style="92" customWidth="1"/>
    <col min="3627" max="3628" width="13.7109375" style="92" customWidth="1"/>
    <col min="3629" max="3629" width="11.42578125" style="92" customWidth="1"/>
    <col min="3630" max="3630" width="13.42578125" style="92" customWidth="1"/>
    <col min="3631" max="3631" width="11.140625" style="92" customWidth="1"/>
    <col min="3632" max="3632" width="10.28515625" style="92" customWidth="1"/>
    <col min="3633" max="3633" width="9.42578125" style="92" customWidth="1"/>
    <col min="3634" max="3634" width="8.140625" style="92" customWidth="1"/>
    <col min="3635" max="3635" width="11.42578125" style="92" customWidth="1"/>
    <col min="3636" max="3636" width="7.7109375" style="92" customWidth="1"/>
    <col min="3637" max="3637" width="9" style="92" customWidth="1"/>
    <col min="3638" max="3639" width="9.140625" style="92" customWidth="1"/>
    <col min="3640" max="3644" width="9.140625" style="92"/>
    <col min="3645" max="3645" width="9" style="92" customWidth="1"/>
    <col min="3646" max="3646" width="9.140625" style="92"/>
    <col min="3647" max="3647" width="15.140625" style="92" customWidth="1"/>
    <col min="3648" max="3656" width="9.140625" style="92"/>
    <col min="3657" max="3657" width="10.5703125" style="92" customWidth="1"/>
    <col min="3658" max="3662" width="9.140625" style="92"/>
    <col min="3663" max="3663" width="9" style="92" bestFit="1" customWidth="1"/>
    <col min="3664" max="3664" width="12.140625" style="92" customWidth="1"/>
    <col min="3665" max="3665" width="13.28515625" style="92" customWidth="1"/>
    <col min="3666" max="3666" width="9.140625" style="92"/>
    <col min="3667" max="3667" width="13.140625" style="92" customWidth="1"/>
    <col min="3668" max="3668" width="11.5703125" style="92" customWidth="1"/>
    <col min="3669" max="3669" width="15.42578125" style="92" bestFit="1" customWidth="1"/>
    <col min="3670" max="3687" width="9.140625" style="92"/>
    <col min="3688" max="3690" width="11.140625" style="92" customWidth="1"/>
    <col min="3691" max="3691" width="14.85546875" style="92" bestFit="1" customWidth="1"/>
    <col min="3692" max="3697" width="14.85546875" style="92" customWidth="1"/>
    <col min="3698" max="3701" width="11.140625" style="92" customWidth="1"/>
    <col min="3702" max="3702" width="11" style="92" customWidth="1"/>
    <col min="3703" max="3703" width="13.28515625" style="92" customWidth="1"/>
    <col min="3704" max="3704" width="12.42578125" style="92" customWidth="1"/>
    <col min="3705" max="3713" width="14.85546875" style="92" customWidth="1"/>
    <col min="3714" max="3714" width="13.140625" style="92" customWidth="1"/>
    <col min="3715" max="3715" width="13.7109375" style="92" customWidth="1"/>
    <col min="3716" max="3718" width="13.28515625" style="92" customWidth="1"/>
    <col min="3719" max="3719" width="15.7109375" style="92" customWidth="1"/>
    <col min="3720" max="3720" width="9.140625" style="92"/>
    <col min="3721" max="3721" width="10.28515625" style="92" bestFit="1" customWidth="1"/>
    <col min="3722" max="3722" width="11.5703125" style="92" bestFit="1" customWidth="1"/>
    <col min="3723" max="3723" width="9.140625" style="92" customWidth="1"/>
    <col min="3724" max="3724" width="10.42578125" style="92" customWidth="1"/>
    <col min="3725" max="3726" width="15.85546875" style="92" customWidth="1"/>
    <col min="3727" max="3728" width="16.85546875" style="92" customWidth="1"/>
    <col min="3729" max="3729" width="14.42578125" style="92" customWidth="1"/>
    <col min="3730" max="3731" width="14.28515625" style="92" customWidth="1"/>
    <col min="3732" max="3732" width="14.7109375" style="92" customWidth="1"/>
    <col min="3733" max="3733" width="15.7109375" style="92" customWidth="1"/>
    <col min="3734" max="3734" width="9.140625" style="92"/>
    <col min="3735" max="3735" width="10.28515625" style="92" bestFit="1" customWidth="1"/>
    <col min="3736" max="3736" width="9.140625" style="92"/>
    <col min="3737" max="3737" width="11.5703125" style="92" bestFit="1" customWidth="1"/>
    <col min="3738" max="3738" width="9.28515625" style="92" bestFit="1" customWidth="1"/>
    <col min="3739" max="3739" width="9.140625" style="92"/>
    <col min="3740" max="3740" width="11.7109375" style="92" customWidth="1"/>
    <col min="3741" max="3741" width="10.28515625" style="92" bestFit="1" customWidth="1"/>
    <col min="3742" max="3742" width="9.140625" style="92"/>
    <col min="3743" max="3743" width="11" style="92" bestFit="1" customWidth="1"/>
    <col min="3744" max="3744" width="10" style="92" bestFit="1" customWidth="1"/>
    <col min="3745" max="3745" width="10.28515625" style="92" bestFit="1" customWidth="1"/>
    <col min="3746" max="3746" width="9.28515625" style="92" bestFit="1" customWidth="1"/>
    <col min="3747" max="3747" width="11.28515625" style="92" bestFit="1" customWidth="1"/>
    <col min="3748" max="3748" width="9.42578125" style="92" bestFit="1" customWidth="1"/>
    <col min="3749" max="3749" width="8.140625" style="92" bestFit="1" customWidth="1"/>
    <col min="3750" max="3750" width="10" style="92" bestFit="1" customWidth="1"/>
    <col min="3751" max="3751" width="10.28515625" style="92" bestFit="1" customWidth="1"/>
    <col min="3752" max="3752" width="8.7109375" style="92" customWidth="1"/>
    <col min="3753" max="3753" width="10.28515625" style="92" bestFit="1" customWidth="1"/>
    <col min="3754" max="3754" width="11.28515625" style="92" bestFit="1" customWidth="1"/>
    <col min="3755" max="3755" width="10.85546875" style="92" bestFit="1" customWidth="1"/>
    <col min="3756" max="3756" width="9.85546875" style="92" bestFit="1" customWidth="1"/>
    <col min="3757" max="3758" width="9.140625" style="92"/>
    <col min="3759" max="3759" width="9.85546875" style="92" bestFit="1" customWidth="1"/>
    <col min="3760" max="3763" width="9.140625" style="92"/>
    <col min="3764" max="3764" width="13.5703125" style="92" bestFit="1" customWidth="1"/>
    <col min="3765" max="3765" width="10.28515625" style="92" bestFit="1" customWidth="1"/>
    <col min="3766" max="3880" width="9.140625" style="92"/>
    <col min="3881" max="3881" width="3.7109375" style="92" customWidth="1"/>
    <col min="3882" max="3882" width="26.5703125" style="92" customWidth="1"/>
    <col min="3883" max="3884" width="13.7109375" style="92" customWidth="1"/>
    <col min="3885" max="3885" width="11.42578125" style="92" customWidth="1"/>
    <col min="3886" max="3886" width="13.42578125" style="92" customWidth="1"/>
    <col min="3887" max="3887" width="11.140625" style="92" customWidth="1"/>
    <col min="3888" max="3888" width="10.28515625" style="92" customWidth="1"/>
    <col min="3889" max="3889" width="9.42578125" style="92" customWidth="1"/>
    <col min="3890" max="3890" width="8.140625" style="92" customWidth="1"/>
    <col min="3891" max="3891" width="11.42578125" style="92" customWidth="1"/>
    <col min="3892" max="3892" width="7.7109375" style="92" customWidth="1"/>
    <col min="3893" max="3893" width="9" style="92" customWidth="1"/>
    <col min="3894" max="3895" width="9.140625" style="92" customWidth="1"/>
    <col min="3896" max="3900" width="9.140625" style="92"/>
    <col min="3901" max="3901" width="9" style="92" customWidth="1"/>
    <col min="3902" max="3902" width="9.140625" style="92"/>
    <col min="3903" max="3903" width="15.140625" style="92" customWidth="1"/>
    <col min="3904" max="3912" width="9.140625" style="92"/>
    <col min="3913" max="3913" width="10.5703125" style="92" customWidth="1"/>
    <col min="3914" max="3918" width="9.140625" style="92"/>
    <col min="3919" max="3919" width="9" style="92" bestFit="1" customWidth="1"/>
    <col min="3920" max="3920" width="12.140625" style="92" customWidth="1"/>
    <col min="3921" max="3921" width="13.28515625" style="92" customWidth="1"/>
    <col min="3922" max="3922" width="9.140625" style="92"/>
    <col min="3923" max="3923" width="13.140625" style="92" customWidth="1"/>
    <col min="3924" max="3924" width="11.5703125" style="92" customWidth="1"/>
    <col min="3925" max="3925" width="15.42578125" style="92" bestFit="1" customWidth="1"/>
    <col min="3926" max="3943" width="9.140625" style="92"/>
    <col min="3944" max="3946" width="11.140625" style="92" customWidth="1"/>
    <col min="3947" max="3947" width="14.85546875" style="92" bestFit="1" customWidth="1"/>
    <col min="3948" max="3953" width="14.85546875" style="92" customWidth="1"/>
    <col min="3954" max="3957" width="11.140625" style="92" customWidth="1"/>
    <col min="3958" max="3958" width="11" style="92" customWidth="1"/>
    <col min="3959" max="3959" width="13.28515625" style="92" customWidth="1"/>
    <col min="3960" max="3960" width="12.42578125" style="92" customWidth="1"/>
    <col min="3961" max="3969" width="14.85546875" style="92" customWidth="1"/>
    <col min="3970" max="3970" width="13.140625" style="92" customWidth="1"/>
    <col min="3971" max="3971" width="13.7109375" style="92" customWidth="1"/>
    <col min="3972" max="3974" width="13.28515625" style="92" customWidth="1"/>
    <col min="3975" max="3975" width="15.7109375" style="92" customWidth="1"/>
    <col min="3976" max="3976" width="9.140625" style="92"/>
    <col min="3977" max="3977" width="10.28515625" style="92" bestFit="1" customWidth="1"/>
    <col min="3978" max="3978" width="11.5703125" style="92" bestFit="1" customWidth="1"/>
    <col min="3979" max="3979" width="9.140625" style="92" customWidth="1"/>
    <col min="3980" max="3980" width="10.42578125" style="92" customWidth="1"/>
    <col min="3981" max="3982" width="15.85546875" style="92" customWidth="1"/>
    <col min="3983" max="3984" width="16.85546875" style="92" customWidth="1"/>
    <col min="3985" max="3985" width="14.42578125" style="92" customWidth="1"/>
    <col min="3986" max="3987" width="14.28515625" style="92" customWidth="1"/>
    <col min="3988" max="3988" width="14.7109375" style="92" customWidth="1"/>
    <col min="3989" max="3989" width="15.7109375" style="92" customWidth="1"/>
    <col min="3990" max="3990" width="9.140625" style="92"/>
    <col min="3991" max="3991" width="10.28515625" style="92" bestFit="1" customWidth="1"/>
    <col min="3992" max="3992" width="9.140625" style="92"/>
    <col min="3993" max="3993" width="11.5703125" style="92" bestFit="1" customWidth="1"/>
    <col min="3994" max="3994" width="9.28515625" style="92" bestFit="1" customWidth="1"/>
    <col min="3995" max="3995" width="9.140625" style="92"/>
    <col min="3996" max="3996" width="11.7109375" style="92" customWidth="1"/>
    <col min="3997" max="3997" width="10.28515625" style="92" bestFit="1" customWidth="1"/>
    <col min="3998" max="3998" width="9.140625" style="92"/>
    <col min="3999" max="3999" width="11" style="92" bestFit="1" customWidth="1"/>
    <col min="4000" max="4000" width="10" style="92" bestFit="1" customWidth="1"/>
    <col min="4001" max="4001" width="10.28515625" style="92" bestFit="1" customWidth="1"/>
    <col min="4002" max="4002" width="9.28515625" style="92" bestFit="1" customWidth="1"/>
    <col min="4003" max="4003" width="11.28515625" style="92" bestFit="1" customWidth="1"/>
    <col min="4004" max="4004" width="9.42578125" style="92" bestFit="1" customWidth="1"/>
    <col min="4005" max="4005" width="8.140625" style="92" bestFit="1" customWidth="1"/>
    <col min="4006" max="4006" width="10" style="92" bestFit="1" customWidth="1"/>
    <col min="4007" max="4007" width="10.28515625" style="92" bestFit="1" customWidth="1"/>
    <col min="4008" max="4008" width="8.7109375" style="92" customWidth="1"/>
    <col min="4009" max="4009" width="10.28515625" style="92" bestFit="1" customWidth="1"/>
    <col min="4010" max="4010" width="11.28515625" style="92" bestFit="1" customWidth="1"/>
    <col min="4011" max="4011" width="10.85546875" style="92" bestFit="1" customWidth="1"/>
    <col min="4012" max="4012" width="9.85546875" style="92" bestFit="1" customWidth="1"/>
    <col min="4013" max="4014" width="9.140625" style="92"/>
    <col min="4015" max="4015" width="9.85546875" style="92" bestFit="1" customWidth="1"/>
    <col min="4016" max="4019" width="9.140625" style="92"/>
    <col min="4020" max="4020" width="13.5703125" style="92" bestFit="1" customWidth="1"/>
    <col min="4021" max="4021" width="10.28515625" style="92" bestFit="1" customWidth="1"/>
    <col min="4022" max="4136" width="9.140625" style="92"/>
    <col min="4137" max="4137" width="3.7109375" style="92" customWidth="1"/>
    <col min="4138" max="4138" width="26.5703125" style="92" customWidth="1"/>
    <col min="4139" max="4140" width="13.7109375" style="92" customWidth="1"/>
    <col min="4141" max="4141" width="11.42578125" style="92" customWidth="1"/>
    <col min="4142" max="4142" width="13.42578125" style="92" customWidth="1"/>
    <col min="4143" max="4143" width="11.140625" style="92" customWidth="1"/>
    <col min="4144" max="4144" width="10.28515625" style="92" customWidth="1"/>
    <col min="4145" max="4145" width="9.42578125" style="92" customWidth="1"/>
    <col min="4146" max="4146" width="8.140625" style="92" customWidth="1"/>
    <col min="4147" max="4147" width="11.42578125" style="92" customWidth="1"/>
    <col min="4148" max="4148" width="7.7109375" style="92" customWidth="1"/>
    <col min="4149" max="4149" width="9" style="92" customWidth="1"/>
    <col min="4150" max="4151" width="9.140625" style="92" customWidth="1"/>
    <col min="4152" max="4156" width="9.140625" style="92"/>
    <col min="4157" max="4157" width="9" style="92" customWidth="1"/>
    <col min="4158" max="4158" width="9.140625" style="92"/>
    <col min="4159" max="4159" width="15.140625" style="92" customWidth="1"/>
    <col min="4160" max="4168" width="9.140625" style="92"/>
    <col min="4169" max="4169" width="10.5703125" style="92" customWidth="1"/>
    <col min="4170" max="4174" width="9.140625" style="92"/>
    <col min="4175" max="4175" width="9" style="92" bestFit="1" customWidth="1"/>
    <col min="4176" max="4176" width="12.140625" style="92" customWidth="1"/>
    <col min="4177" max="4177" width="13.28515625" style="92" customWidth="1"/>
    <col min="4178" max="4178" width="9.140625" style="92"/>
    <col min="4179" max="4179" width="13.140625" style="92" customWidth="1"/>
    <col min="4180" max="4180" width="11.5703125" style="92" customWidth="1"/>
    <col min="4181" max="4181" width="15.42578125" style="92" bestFit="1" customWidth="1"/>
    <col min="4182" max="4199" width="9.140625" style="92"/>
    <col min="4200" max="4202" width="11.140625" style="92" customWidth="1"/>
    <col min="4203" max="4203" width="14.85546875" style="92" bestFit="1" customWidth="1"/>
    <col min="4204" max="4209" width="14.85546875" style="92" customWidth="1"/>
    <col min="4210" max="4213" width="11.140625" style="92" customWidth="1"/>
    <col min="4214" max="4214" width="11" style="92" customWidth="1"/>
    <col min="4215" max="4215" width="13.28515625" style="92" customWidth="1"/>
    <col min="4216" max="4216" width="12.42578125" style="92" customWidth="1"/>
    <col min="4217" max="4225" width="14.85546875" style="92" customWidth="1"/>
    <col min="4226" max="4226" width="13.140625" style="92" customWidth="1"/>
    <col min="4227" max="4227" width="13.7109375" style="92" customWidth="1"/>
    <col min="4228" max="4230" width="13.28515625" style="92" customWidth="1"/>
    <col min="4231" max="4231" width="15.7109375" style="92" customWidth="1"/>
    <col min="4232" max="4232" width="9.140625" style="92"/>
    <col min="4233" max="4233" width="10.28515625" style="92" bestFit="1" customWidth="1"/>
    <col min="4234" max="4234" width="11.5703125" style="92" bestFit="1" customWidth="1"/>
    <col min="4235" max="4235" width="9.140625" style="92" customWidth="1"/>
    <col min="4236" max="4236" width="10.42578125" style="92" customWidth="1"/>
    <col min="4237" max="4238" width="15.85546875" style="92" customWidth="1"/>
    <col min="4239" max="4240" width="16.85546875" style="92" customWidth="1"/>
    <col min="4241" max="4241" width="14.42578125" style="92" customWidth="1"/>
    <col min="4242" max="4243" width="14.28515625" style="92" customWidth="1"/>
    <col min="4244" max="4244" width="14.7109375" style="92" customWidth="1"/>
    <col min="4245" max="4245" width="15.7109375" style="92" customWidth="1"/>
    <col min="4246" max="4246" width="9.140625" style="92"/>
    <col min="4247" max="4247" width="10.28515625" style="92" bestFit="1" customWidth="1"/>
    <col min="4248" max="4248" width="9.140625" style="92"/>
    <col min="4249" max="4249" width="11.5703125" style="92" bestFit="1" customWidth="1"/>
    <col min="4250" max="4250" width="9.28515625" style="92" bestFit="1" customWidth="1"/>
    <col min="4251" max="4251" width="9.140625" style="92"/>
    <col min="4252" max="4252" width="11.7109375" style="92" customWidth="1"/>
    <col min="4253" max="4253" width="10.28515625" style="92" bestFit="1" customWidth="1"/>
    <col min="4254" max="4254" width="9.140625" style="92"/>
    <col min="4255" max="4255" width="11" style="92" bestFit="1" customWidth="1"/>
    <col min="4256" max="4256" width="10" style="92" bestFit="1" customWidth="1"/>
    <col min="4257" max="4257" width="10.28515625" style="92" bestFit="1" customWidth="1"/>
    <col min="4258" max="4258" width="9.28515625" style="92" bestFit="1" customWidth="1"/>
    <col min="4259" max="4259" width="11.28515625" style="92" bestFit="1" customWidth="1"/>
    <col min="4260" max="4260" width="9.42578125" style="92" bestFit="1" customWidth="1"/>
    <col min="4261" max="4261" width="8.140625" style="92" bestFit="1" customWidth="1"/>
    <col min="4262" max="4262" width="10" style="92" bestFit="1" customWidth="1"/>
    <col min="4263" max="4263" width="10.28515625" style="92" bestFit="1" customWidth="1"/>
    <col min="4264" max="4264" width="8.7109375" style="92" customWidth="1"/>
    <col min="4265" max="4265" width="10.28515625" style="92" bestFit="1" customWidth="1"/>
    <col min="4266" max="4266" width="11.28515625" style="92" bestFit="1" customWidth="1"/>
    <col min="4267" max="4267" width="10.85546875" style="92" bestFit="1" customWidth="1"/>
    <col min="4268" max="4268" width="9.85546875" style="92" bestFit="1" customWidth="1"/>
    <col min="4269" max="4270" width="9.140625" style="92"/>
    <col min="4271" max="4271" width="9.85546875" style="92" bestFit="1" customWidth="1"/>
    <col min="4272" max="4275" width="9.140625" style="92"/>
    <col min="4276" max="4276" width="13.5703125" style="92" bestFit="1" customWidth="1"/>
    <col min="4277" max="4277" width="10.28515625" style="92" bestFit="1" customWidth="1"/>
    <col min="4278" max="4392" width="9.140625" style="92"/>
    <col min="4393" max="4393" width="3.7109375" style="92" customWidth="1"/>
    <col min="4394" max="4394" width="26.5703125" style="92" customWidth="1"/>
    <col min="4395" max="4396" width="13.7109375" style="92" customWidth="1"/>
    <col min="4397" max="4397" width="11.42578125" style="92" customWidth="1"/>
    <col min="4398" max="4398" width="13.42578125" style="92" customWidth="1"/>
    <col min="4399" max="4399" width="11.140625" style="92" customWidth="1"/>
    <col min="4400" max="4400" width="10.28515625" style="92" customWidth="1"/>
    <col min="4401" max="4401" width="9.42578125" style="92" customWidth="1"/>
    <col min="4402" max="4402" width="8.140625" style="92" customWidth="1"/>
    <col min="4403" max="4403" width="11.42578125" style="92" customWidth="1"/>
    <col min="4404" max="4404" width="7.7109375" style="92" customWidth="1"/>
    <col min="4405" max="4405" width="9" style="92" customWidth="1"/>
    <col min="4406" max="4407" width="9.140625" style="92" customWidth="1"/>
    <col min="4408" max="4412" width="9.140625" style="92"/>
    <col min="4413" max="4413" width="9" style="92" customWidth="1"/>
    <col min="4414" max="4414" width="9.140625" style="92"/>
    <col min="4415" max="4415" width="15.140625" style="92" customWidth="1"/>
    <col min="4416" max="4424" width="9.140625" style="92"/>
    <col min="4425" max="4425" width="10.5703125" style="92" customWidth="1"/>
    <col min="4426" max="4430" width="9.140625" style="92"/>
    <col min="4431" max="4431" width="9" style="92" bestFit="1" customWidth="1"/>
    <col min="4432" max="4432" width="12.140625" style="92" customWidth="1"/>
    <col min="4433" max="4433" width="13.28515625" style="92" customWidth="1"/>
    <col min="4434" max="4434" width="9.140625" style="92"/>
    <col min="4435" max="4435" width="13.140625" style="92" customWidth="1"/>
    <col min="4436" max="4436" width="11.5703125" style="92" customWidth="1"/>
    <col min="4437" max="4437" width="15.42578125" style="92" bestFit="1" customWidth="1"/>
    <col min="4438" max="4455" width="9.140625" style="92"/>
    <col min="4456" max="4458" width="11.140625" style="92" customWidth="1"/>
    <col min="4459" max="4459" width="14.85546875" style="92" bestFit="1" customWidth="1"/>
    <col min="4460" max="4465" width="14.85546875" style="92" customWidth="1"/>
    <col min="4466" max="4469" width="11.140625" style="92" customWidth="1"/>
    <col min="4470" max="4470" width="11" style="92" customWidth="1"/>
    <col min="4471" max="4471" width="13.28515625" style="92" customWidth="1"/>
    <col min="4472" max="4472" width="12.42578125" style="92" customWidth="1"/>
    <col min="4473" max="4481" width="14.85546875" style="92" customWidth="1"/>
    <col min="4482" max="4482" width="13.140625" style="92" customWidth="1"/>
    <col min="4483" max="4483" width="13.7109375" style="92" customWidth="1"/>
    <col min="4484" max="4486" width="13.28515625" style="92" customWidth="1"/>
    <col min="4487" max="4487" width="15.7109375" style="92" customWidth="1"/>
    <col min="4488" max="4488" width="9.140625" style="92"/>
    <col min="4489" max="4489" width="10.28515625" style="92" bestFit="1" customWidth="1"/>
    <col min="4490" max="4490" width="11.5703125" style="92" bestFit="1" customWidth="1"/>
    <col min="4491" max="4491" width="9.140625" style="92" customWidth="1"/>
    <col min="4492" max="4492" width="10.42578125" style="92" customWidth="1"/>
    <col min="4493" max="4494" width="15.85546875" style="92" customWidth="1"/>
    <col min="4495" max="4496" width="16.85546875" style="92" customWidth="1"/>
    <col min="4497" max="4497" width="14.42578125" style="92" customWidth="1"/>
    <col min="4498" max="4499" width="14.28515625" style="92" customWidth="1"/>
    <col min="4500" max="4500" width="14.7109375" style="92" customWidth="1"/>
    <col min="4501" max="4501" width="15.7109375" style="92" customWidth="1"/>
    <col min="4502" max="4502" width="9.140625" style="92"/>
    <col min="4503" max="4503" width="10.28515625" style="92" bestFit="1" customWidth="1"/>
    <col min="4504" max="4504" width="9.140625" style="92"/>
    <col min="4505" max="4505" width="11.5703125" style="92" bestFit="1" customWidth="1"/>
    <col min="4506" max="4506" width="9.28515625" style="92" bestFit="1" customWidth="1"/>
    <col min="4507" max="4507" width="9.140625" style="92"/>
    <col min="4508" max="4508" width="11.7109375" style="92" customWidth="1"/>
    <col min="4509" max="4509" width="10.28515625" style="92" bestFit="1" customWidth="1"/>
    <col min="4510" max="4510" width="9.140625" style="92"/>
    <col min="4511" max="4511" width="11" style="92" bestFit="1" customWidth="1"/>
    <col min="4512" max="4512" width="10" style="92" bestFit="1" customWidth="1"/>
    <col min="4513" max="4513" width="10.28515625" style="92" bestFit="1" customWidth="1"/>
    <col min="4514" max="4514" width="9.28515625" style="92" bestFit="1" customWidth="1"/>
    <col min="4515" max="4515" width="11.28515625" style="92" bestFit="1" customWidth="1"/>
    <col min="4516" max="4516" width="9.42578125" style="92" bestFit="1" customWidth="1"/>
    <col min="4517" max="4517" width="8.140625" style="92" bestFit="1" customWidth="1"/>
    <col min="4518" max="4518" width="10" style="92" bestFit="1" customWidth="1"/>
    <col min="4519" max="4519" width="10.28515625" style="92" bestFit="1" customWidth="1"/>
    <col min="4520" max="4520" width="8.7109375" style="92" customWidth="1"/>
    <col min="4521" max="4521" width="10.28515625" style="92" bestFit="1" customWidth="1"/>
    <col min="4522" max="4522" width="11.28515625" style="92" bestFit="1" customWidth="1"/>
    <col min="4523" max="4523" width="10.85546875" style="92" bestFit="1" customWidth="1"/>
    <col min="4524" max="4524" width="9.85546875" style="92" bestFit="1" customWidth="1"/>
    <col min="4525" max="4526" width="9.140625" style="92"/>
    <col min="4527" max="4527" width="9.85546875" style="92" bestFit="1" customWidth="1"/>
    <col min="4528" max="4531" width="9.140625" style="92"/>
    <col min="4532" max="4532" width="13.5703125" style="92" bestFit="1" customWidth="1"/>
    <col min="4533" max="4533" width="10.28515625" style="92" bestFit="1" customWidth="1"/>
    <col min="4534" max="4648" width="9.140625" style="92"/>
    <col min="4649" max="4649" width="3.7109375" style="92" customWidth="1"/>
    <col min="4650" max="4650" width="26.5703125" style="92" customWidth="1"/>
    <col min="4651" max="4652" width="13.7109375" style="92" customWidth="1"/>
    <col min="4653" max="4653" width="11.42578125" style="92" customWidth="1"/>
    <col min="4654" max="4654" width="13.42578125" style="92" customWidth="1"/>
    <col min="4655" max="4655" width="11.140625" style="92" customWidth="1"/>
    <col min="4656" max="4656" width="10.28515625" style="92" customWidth="1"/>
    <col min="4657" max="4657" width="9.42578125" style="92" customWidth="1"/>
    <col min="4658" max="4658" width="8.140625" style="92" customWidth="1"/>
    <col min="4659" max="4659" width="11.42578125" style="92" customWidth="1"/>
    <col min="4660" max="4660" width="7.7109375" style="92" customWidth="1"/>
    <col min="4661" max="4661" width="9" style="92" customWidth="1"/>
    <col min="4662" max="4663" width="9.140625" style="92" customWidth="1"/>
    <col min="4664" max="4668" width="9.140625" style="92"/>
    <col min="4669" max="4669" width="9" style="92" customWidth="1"/>
    <col min="4670" max="4670" width="9.140625" style="92"/>
    <col min="4671" max="4671" width="15.140625" style="92" customWidth="1"/>
    <col min="4672" max="4680" width="9.140625" style="92"/>
    <col min="4681" max="4681" width="10.5703125" style="92" customWidth="1"/>
    <col min="4682" max="4686" width="9.140625" style="92"/>
    <col min="4687" max="4687" width="9" style="92" bestFit="1" customWidth="1"/>
    <col min="4688" max="4688" width="12.140625" style="92" customWidth="1"/>
    <col min="4689" max="4689" width="13.28515625" style="92" customWidth="1"/>
    <col min="4690" max="4690" width="9.140625" style="92"/>
    <col min="4691" max="4691" width="13.140625" style="92" customWidth="1"/>
    <col min="4692" max="4692" width="11.5703125" style="92" customWidth="1"/>
    <col min="4693" max="4693" width="15.42578125" style="92" bestFit="1" customWidth="1"/>
    <col min="4694" max="4711" width="9.140625" style="92"/>
    <col min="4712" max="4714" width="11.140625" style="92" customWidth="1"/>
    <col min="4715" max="4715" width="14.85546875" style="92" bestFit="1" customWidth="1"/>
    <col min="4716" max="4721" width="14.85546875" style="92" customWidth="1"/>
    <col min="4722" max="4725" width="11.140625" style="92" customWidth="1"/>
    <col min="4726" max="4726" width="11" style="92" customWidth="1"/>
    <col min="4727" max="4727" width="13.28515625" style="92" customWidth="1"/>
    <col min="4728" max="4728" width="12.42578125" style="92" customWidth="1"/>
    <col min="4729" max="4737" width="14.85546875" style="92" customWidth="1"/>
    <col min="4738" max="4738" width="13.140625" style="92" customWidth="1"/>
    <col min="4739" max="4739" width="13.7109375" style="92" customWidth="1"/>
    <col min="4740" max="4742" width="13.28515625" style="92" customWidth="1"/>
    <col min="4743" max="4743" width="15.7109375" style="92" customWidth="1"/>
    <col min="4744" max="4744" width="9.140625" style="92"/>
    <col min="4745" max="4745" width="10.28515625" style="92" bestFit="1" customWidth="1"/>
    <col min="4746" max="4746" width="11.5703125" style="92" bestFit="1" customWidth="1"/>
    <col min="4747" max="4747" width="9.140625" style="92" customWidth="1"/>
    <col min="4748" max="4748" width="10.42578125" style="92" customWidth="1"/>
    <col min="4749" max="4750" width="15.85546875" style="92" customWidth="1"/>
    <col min="4751" max="4752" width="16.85546875" style="92" customWidth="1"/>
    <col min="4753" max="4753" width="14.42578125" style="92" customWidth="1"/>
    <col min="4754" max="4755" width="14.28515625" style="92" customWidth="1"/>
    <col min="4756" max="4756" width="14.7109375" style="92" customWidth="1"/>
    <col min="4757" max="4757" width="15.7109375" style="92" customWidth="1"/>
    <col min="4758" max="4758" width="9.140625" style="92"/>
    <col min="4759" max="4759" width="10.28515625" style="92" bestFit="1" customWidth="1"/>
    <col min="4760" max="4760" width="9.140625" style="92"/>
    <col min="4761" max="4761" width="11.5703125" style="92" bestFit="1" customWidth="1"/>
    <col min="4762" max="4762" width="9.28515625" style="92" bestFit="1" customWidth="1"/>
    <col min="4763" max="4763" width="9.140625" style="92"/>
    <col min="4764" max="4764" width="11.7109375" style="92" customWidth="1"/>
    <col min="4765" max="4765" width="10.28515625" style="92" bestFit="1" customWidth="1"/>
    <col min="4766" max="4766" width="9.140625" style="92"/>
    <col min="4767" max="4767" width="11" style="92" bestFit="1" customWidth="1"/>
    <col min="4768" max="4768" width="10" style="92" bestFit="1" customWidth="1"/>
    <col min="4769" max="4769" width="10.28515625" style="92" bestFit="1" customWidth="1"/>
    <col min="4770" max="4770" width="9.28515625" style="92" bestFit="1" customWidth="1"/>
    <col min="4771" max="4771" width="11.28515625" style="92" bestFit="1" customWidth="1"/>
    <col min="4772" max="4772" width="9.42578125" style="92" bestFit="1" customWidth="1"/>
    <col min="4773" max="4773" width="8.140625" style="92" bestFit="1" customWidth="1"/>
    <col min="4774" max="4774" width="10" style="92" bestFit="1" customWidth="1"/>
    <col min="4775" max="4775" width="10.28515625" style="92" bestFit="1" customWidth="1"/>
    <col min="4776" max="4776" width="8.7109375" style="92" customWidth="1"/>
    <col min="4777" max="4777" width="10.28515625" style="92" bestFit="1" customWidth="1"/>
    <col min="4778" max="4778" width="11.28515625" style="92" bestFit="1" customWidth="1"/>
    <col min="4779" max="4779" width="10.85546875" style="92" bestFit="1" customWidth="1"/>
    <col min="4780" max="4780" width="9.85546875" style="92" bestFit="1" customWidth="1"/>
    <col min="4781" max="4782" width="9.140625" style="92"/>
    <col min="4783" max="4783" width="9.85546875" style="92" bestFit="1" customWidth="1"/>
    <col min="4784" max="4787" width="9.140625" style="92"/>
    <col min="4788" max="4788" width="13.5703125" style="92" bestFit="1" customWidth="1"/>
    <col min="4789" max="4789" width="10.28515625" style="92" bestFit="1" customWidth="1"/>
    <col min="4790" max="4904" width="9.140625" style="92"/>
    <col min="4905" max="4905" width="3.7109375" style="92" customWidth="1"/>
    <col min="4906" max="4906" width="26.5703125" style="92" customWidth="1"/>
    <col min="4907" max="4908" width="13.7109375" style="92" customWidth="1"/>
    <col min="4909" max="4909" width="11.42578125" style="92" customWidth="1"/>
    <col min="4910" max="4910" width="13.42578125" style="92" customWidth="1"/>
    <col min="4911" max="4911" width="11.140625" style="92" customWidth="1"/>
    <col min="4912" max="4912" width="10.28515625" style="92" customWidth="1"/>
    <col min="4913" max="4913" width="9.42578125" style="92" customWidth="1"/>
    <col min="4914" max="4914" width="8.140625" style="92" customWidth="1"/>
    <col min="4915" max="4915" width="11.42578125" style="92" customWidth="1"/>
    <col min="4916" max="4916" width="7.7109375" style="92" customWidth="1"/>
    <col min="4917" max="4917" width="9" style="92" customWidth="1"/>
    <col min="4918" max="4919" width="9.140625" style="92" customWidth="1"/>
    <col min="4920" max="4924" width="9.140625" style="92"/>
    <col min="4925" max="4925" width="9" style="92" customWidth="1"/>
    <col min="4926" max="4926" width="9.140625" style="92"/>
    <col min="4927" max="4927" width="15.140625" style="92" customWidth="1"/>
    <col min="4928" max="4936" width="9.140625" style="92"/>
    <col min="4937" max="4937" width="10.5703125" style="92" customWidth="1"/>
    <col min="4938" max="4942" width="9.140625" style="92"/>
    <col min="4943" max="4943" width="9" style="92" bestFit="1" customWidth="1"/>
    <col min="4944" max="4944" width="12.140625" style="92" customWidth="1"/>
    <col min="4945" max="4945" width="13.28515625" style="92" customWidth="1"/>
    <col min="4946" max="4946" width="9.140625" style="92"/>
    <col min="4947" max="4947" width="13.140625" style="92" customWidth="1"/>
    <col min="4948" max="4948" width="11.5703125" style="92" customWidth="1"/>
    <col min="4949" max="4949" width="15.42578125" style="92" bestFit="1" customWidth="1"/>
    <col min="4950" max="4967" width="9.140625" style="92"/>
    <col min="4968" max="4970" width="11.140625" style="92" customWidth="1"/>
    <col min="4971" max="4971" width="14.85546875" style="92" bestFit="1" customWidth="1"/>
    <col min="4972" max="4977" width="14.85546875" style="92" customWidth="1"/>
    <col min="4978" max="4981" width="11.140625" style="92" customWidth="1"/>
    <col min="4982" max="4982" width="11" style="92" customWidth="1"/>
    <col min="4983" max="4983" width="13.28515625" style="92" customWidth="1"/>
    <col min="4984" max="4984" width="12.42578125" style="92" customWidth="1"/>
    <col min="4985" max="4993" width="14.85546875" style="92" customWidth="1"/>
    <col min="4994" max="4994" width="13.140625" style="92" customWidth="1"/>
    <col min="4995" max="4995" width="13.7109375" style="92" customWidth="1"/>
    <col min="4996" max="4998" width="13.28515625" style="92" customWidth="1"/>
    <col min="4999" max="4999" width="15.7109375" style="92" customWidth="1"/>
    <col min="5000" max="5000" width="9.140625" style="92"/>
    <col min="5001" max="5001" width="10.28515625" style="92" bestFit="1" customWidth="1"/>
    <col min="5002" max="5002" width="11.5703125" style="92" bestFit="1" customWidth="1"/>
    <col min="5003" max="5003" width="9.140625" style="92" customWidth="1"/>
    <col min="5004" max="5004" width="10.42578125" style="92" customWidth="1"/>
    <col min="5005" max="5006" width="15.85546875" style="92" customWidth="1"/>
    <col min="5007" max="5008" width="16.85546875" style="92" customWidth="1"/>
    <col min="5009" max="5009" width="14.42578125" style="92" customWidth="1"/>
    <col min="5010" max="5011" width="14.28515625" style="92" customWidth="1"/>
    <col min="5012" max="5012" width="14.7109375" style="92" customWidth="1"/>
    <col min="5013" max="5013" width="15.7109375" style="92" customWidth="1"/>
    <col min="5014" max="5014" width="9.140625" style="92"/>
    <col min="5015" max="5015" width="10.28515625" style="92" bestFit="1" customWidth="1"/>
    <col min="5016" max="5016" width="9.140625" style="92"/>
    <col min="5017" max="5017" width="11.5703125" style="92" bestFit="1" customWidth="1"/>
    <col min="5018" max="5018" width="9.28515625" style="92" bestFit="1" customWidth="1"/>
    <col min="5019" max="5019" width="9.140625" style="92"/>
    <col min="5020" max="5020" width="11.7109375" style="92" customWidth="1"/>
    <col min="5021" max="5021" width="10.28515625" style="92" bestFit="1" customWidth="1"/>
    <col min="5022" max="5022" width="9.140625" style="92"/>
    <col min="5023" max="5023" width="11" style="92" bestFit="1" customWidth="1"/>
    <col min="5024" max="5024" width="10" style="92" bestFit="1" customWidth="1"/>
    <col min="5025" max="5025" width="10.28515625" style="92" bestFit="1" customWidth="1"/>
    <col min="5026" max="5026" width="9.28515625" style="92" bestFit="1" customWidth="1"/>
    <col min="5027" max="5027" width="11.28515625" style="92" bestFit="1" customWidth="1"/>
    <col min="5028" max="5028" width="9.42578125" style="92" bestFit="1" customWidth="1"/>
    <col min="5029" max="5029" width="8.140625" style="92" bestFit="1" customWidth="1"/>
    <col min="5030" max="5030" width="10" style="92" bestFit="1" customWidth="1"/>
    <col min="5031" max="5031" width="10.28515625" style="92" bestFit="1" customWidth="1"/>
    <col min="5032" max="5032" width="8.7109375" style="92" customWidth="1"/>
    <col min="5033" max="5033" width="10.28515625" style="92" bestFit="1" customWidth="1"/>
    <col min="5034" max="5034" width="11.28515625" style="92" bestFit="1" customWidth="1"/>
    <col min="5035" max="5035" width="10.85546875" style="92" bestFit="1" customWidth="1"/>
    <col min="5036" max="5036" width="9.85546875" style="92" bestFit="1" customWidth="1"/>
    <col min="5037" max="5038" width="9.140625" style="92"/>
    <col min="5039" max="5039" width="9.85546875" style="92" bestFit="1" customWidth="1"/>
    <col min="5040" max="5043" width="9.140625" style="92"/>
    <col min="5044" max="5044" width="13.5703125" style="92" bestFit="1" customWidth="1"/>
    <col min="5045" max="5045" width="10.28515625" style="92" bestFit="1" customWidth="1"/>
    <col min="5046" max="5160" width="9.140625" style="92"/>
    <col min="5161" max="5161" width="3.7109375" style="92" customWidth="1"/>
    <col min="5162" max="5162" width="26.5703125" style="92" customWidth="1"/>
    <col min="5163" max="5164" width="13.7109375" style="92" customWidth="1"/>
    <col min="5165" max="5165" width="11.42578125" style="92" customWidth="1"/>
    <col min="5166" max="5166" width="13.42578125" style="92" customWidth="1"/>
    <col min="5167" max="5167" width="11.140625" style="92" customWidth="1"/>
    <col min="5168" max="5168" width="10.28515625" style="92" customWidth="1"/>
    <col min="5169" max="5169" width="9.42578125" style="92" customWidth="1"/>
    <col min="5170" max="5170" width="8.140625" style="92" customWidth="1"/>
    <col min="5171" max="5171" width="11.42578125" style="92" customWidth="1"/>
    <col min="5172" max="5172" width="7.7109375" style="92" customWidth="1"/>
    <col min="5173" max="5173" width="9" style="92" customWidth="1"/>
    <col min="5174" max="5175" width="9.140625" style="92" customWidth="1"/>
    <col min="5176" max="5180" width="9.140625" style="92"/>
    <col min="5181" max="5181" width="9" style="92" customWidth="1"/>
    <col min="5182" max="5182" width="9.140625" style="92"/>
    <col min="5183" max="5183" width="15.140625" style="92" customWidth="1"/>
    <col min="5184" max="5192" width="9.140625" style="92"/>
    <col min="5193" max="5193" width="10.5703125" style="92" customWidth="1"/>
    <col min="5194" max="5198" width="9.140625" style="92"/>
    <col min="5199" max="5199" width="9" style="92" bestFit="1" customWidth="1"/>
    <col min="5200" max="5200" width="12.140625" style="92" customWidth="1"/>
    <col min="5201" max="5201" width="13.28515625" style="92" customWidth="1"/>
    <col min="5202" max="5202" width="9.140625" style="92"/>
    <col min="5203" max="5203" width="13.140625" style="92" customWidth="1"/>
    <col min="5204" max="5204" width="11.5703125" style="92" customWidth="1"/>
    <col min="5205" max="5205" width="15.42578125" style="92" bestFit="1" customWidth="1"/>
    <col min="5206" max="5223" width="9.140625" style="92"/>
    <col min="5224" max="5226" width="11.140625" style="92" customWidth="1"/>
    <col min="5227" max="5227" width="14.85546875" style="92" bestFit="1" customWidth="1"/>
    <col min="5228" max="5233" width="14.85546875" style="92" customWidth="1"/>
    <col min="5234" max="5237" width="11.140625" style="92" customWidth="1"/>
    <col min="5238" max="5238" width="11" style="92" customWidth="1"/>
    <col min="5239" max="5239" width="13.28515625" style="92" customWidth="1"/>
    <col min="5240" max="5240" width="12.42578125" style="92" customWidth="1"/>
    <col min="5241" max="5249" width="14.85546875" style="92" customWidth="1"/>
    <col min="5250" max="5250" width="13.140625" style="92" customWidth="1"/>
    <col min="5251" max="5251" width="13.7109375" style="92" customWidth="1"/>
    <col min="5252" max="5254" width="13.28515625" style="92" customWidth="1"/>
    <col min="5255" max="5255" width="15.7109375" style="92" customWidth="1"/>
    <col min="5256" max="5256" width="9.140625" style="92"/>
    <col min="5257" max="5257" width="10.28515625" style="92" bestFit="1" customWidth="1"/>
    <col min="5258" max="5258" width="11.5703125" style="92" bestFit="1" customWidth="1"/>
    <col min="5259" max="5259" width="9.140625" style="92" customWidth="1"/>
    <col min="5260" max="5260" width="10.42578125" style="92" customWidth="1"/>
    <col min="5261" max="5262" width="15.85546875" style="92" customWidth="1"/>
    <col min="5263" max="5264" width="16.85546875" style="92" customWidth="1"/>
    <col min="5265" max="5265" width="14.42578125" style="92" customWidth="1"/>
    <col min="5266" max="5267" width="14.28515625" style="92" customWidth="1"/>
    <col min="5268" max="5268" width="14.7109375" style="92" customWidth="1"/>
    <col min="5269" max="5269" width="15.7109375" style="92" customWidth="1"/>
    <col min="5270" max="5270" width="9.140625" style="92"/>
    <col min="5271" max="5271" width="10.28515625" style="92" bestFit="1" customWidth="1"/>
    <col min="5272" max="5272" width="9.140625" style="92"/>
    <col min="5273" max="5273" width="11.5703125" style="92" bestFit="1" customWidth="1"/>
    <col min="5274" max="5274" width="9.28515625" style="92" bestFit="1" customWidth="1"/>
    <col min="5275" max="5275" width="9.140625" style="92"/>
    <col min="5276" max="5276" width="11.7109375" style="92" customWidth="1"/>
    <col min="5277" max="5277" width="10.28515625" style="92" bestFit="1" customWidth="1"/>
    <col min="5278" max="5278" width="9.140625" style="92"/>
    <col min="5279" max="5279" width="11" style="92" bestFit="1" customWidth="1"/>
    <col min="5280" max="5280" width="10" style="92" bestFit="1" customWidth="1"/>
    <col min="5281" max="5281" width="10.28515625" style="92" bestFit="1" customWidth="1"/>
    <col min="5282" max="5282" width="9.28515625" style="92" bestFit="1" customWidth="1"/>
    <col min="5283" max="5283" width="11.28515625" style="92" bestFit="1" customWidth="1"/>
    <col min="5284" max="5284" width="9.42578125" style="92" bestFit="1" customWidth="1"/>
    <col min="5285" max="5285" width="8.140625" style="92" bestFit="1" customWidth="1"/>
    <col min="5286" max="5286" width="10" style="92" bestFit="1" customWidth="1"/>
    <col min="5287" max="5287" width="10.28515625" style="92" bestFit="1" customWidth="1"/>
    <col min="5288" max="5288" width="8.7109375" style="92" customWidth="1"/>
    <col min="5289" max="5289" width="10.28515625" style="92" bestFit="1" customWidth="1"/>
    <col min="5290" max="5290" width="11.28515625" style="92" bestFit="1" customWidth="1"/>
    <col min="5291" max="5291" width="10.85546875" style="92" bestFit="1" customWidth="1"/>
    <col min="5292" max="5292" width="9.85546875" style="92" bestFit="1" customWidth="1"/>
    <col min="5293" max="5294" width="9.140625" style="92"/>
    <col min="5295" max="5295" width="9.85546875" style="92" bestFit="1" customWidth="1"/>
    <col min="5296" max="5299" width="9.140625" style="92"/>
    <col min="5300" max="5300" width="13.5703125" style="92" bestFit="1" customWidth="1"/>
    <col min="5301" max="5301" width="10.28515625" style="92" bestFit="1" customWidth="1"/>
    <col min="5302" max="5416" width="9.140625" style="92"/>
    <col min="5417" max="5417" width="3.7109375" style="92" customWidth="1"/>
    <col min="5418" max="5418" width="26.5703125" style="92" customWidth="1"/>
    <col min="5419" max="5420" width="13.7109375" style="92" customWidth="1"/>
    <col min="5421" max="5421" width="11.42578125" style="92" customWidth="1"/>
    <col min="5422" max="5422" width="13.42578125" style="92" customWidth="1"/>
    <col min="5423" max="5423" width="11.140625" style="92" customWidth="1"/>
    <col min="5424" max="5424" width="10.28515625" style="92" customWidth="1"/>
    <col min="5425" max="5425" width="9.42578125" style="92" customWidth="1"/>
    <col min="5426" max="5426" width="8.140625" style="92" customWidth="1"/>
    <col min="5427" max="5427" width="11.42578125" style="92" customWidth="1"/>
    <col min="5428" max="5428" width="7.7109375" style="92" customWidth="1"/>
    <col min="5429" max="5429" width="9" style="92" customWidth="1"/>
    <col min="5430" max="5431" width="9.140625" style="92" customWidth="1"/>
    <col min="5432" max="5436" width="9.140625" style="92"/>
    <col min="5437" max="5437" width="9" style="92" customWidth="1"/>
    <col min="5438" max="5438" width="9.140625" style="92"/>
    <col min="5439" max="5439" width="15.140625" style="92" customWidth="1"/>
    <col min="5440" max="5448" width="9.140625" style="92"/>
    <col min="5449" max="5449" width="10.5703125" style="92" customWidth="1"/>
    <col min="5450" max="5454" width="9.140625" style="92"/>
    <col min="5455" max="5455" width="9" style="92" bestFit="1" customWidth="1"/>
    <col min="5456" max="5456" width="12.140625" style="92" customWidth="1"/>
    <col min="5457" max="5457" width="13.28515625" style="92" customWidth="1"/>
    <col min="5458" max="5458" width="9.140625" style="92"/>
    <col min="5459" max="5459" width="13.140625" style="92" customWidth="1"/>
    <col min="5460" max="5460" width="11.5703125" style="92" customWidth="1"/>
    <col min="5461" max="5461" width="15.42578125" style="92" bestFit="1" customWidth="1"/>
    <col min="5462" max="5479" width="9.140625" style="92"/>
    <col min="5480" max="5482" width="11.140625" style="92" customWidth="1"/>
    <col min="5483" max="5483" width="14.85546875" style="92" bestFit="1" customWidth="1"/>
    <col min="5484" max="5489" width="14.85546875" style="92" customWidth="1"/>
    <col min="5490" max="5493" width="11.140625" style="92" customWidth="1"/>
    <col min="5494" max="5494" width="11" style="92" customWidth="1"/>
    <col min="5495" max="5495" width="13.28515625" style="92" customWidth="1"/>
    <col min="5496" max="5496" width="12.42578125" style="92" customWidth="1"/>
    <col min="5497" max="5505" width="14.85546875" style="92" customWidth="1"/>
    <col min="5506" max="5506" width="13.140625" style="92" customWidth="1"/>
    <col min="5507" max="5507" width="13.7109375" style="92" customWidth="1"/>
    <col min="5508" max="5510" width="13.28515625" style="92" customWidth="1"/>
    <col min="5511" max="5511" width="15.7109375" style="92" customWidth="1"/>
    <col min="5512" max="5512" width="9.140625" style="92"/>
    <col min="5513" max="5513" width="10.28515625" style="92" bestFit="1" customWidth="1"/>
    <col min="5514" max="5514" width="11.5703125" style="92" bestFit="1" customWidth="1"/>
    <col min="5515" max="5515" width="9.140625" style="92" customWidth="1"/>
    <col min="5516" max="5516" width="10.42578125" style="92" customWidth="1"/>
    <col min="5517" max="5518" width="15.85546875" style="92" customWidth="1"/>
    <col min="5519" max="5520" width="16.85546875" style="92" customWidth="1"/>
    <col min="5521" max="5521" width="14.42578125" style="92" customWidth="1"/>
    <col min="5522" max="5523" width="14.28515625" style="92" customWidth="1"/>
    <col min="5524" max="5524" width="14.7109375" style="92" customWidth="1"/>
    <col min="5525" max="5525" width="15.7109375" style="92" customWidth="1"/>
    <col min="5526" max="5526" width="9.140625" style="92"/>
    <col min="5527" max="5527" width="10.28515625" style="92" bestFit="1" customWidth="1"/>
    <col min="5528" max="5528" width="9.140625" style="92"/>
    <col min="5529" max="5529" width="11.5703125" style="92" bestFit="1" customWidth="1"/>
    <col min="5530" max="5530" width="9.28515625" style="92" bestFit="1" customWidth="1"/>
    <col min="5531" max="5531" width="9.140625" style="92"/>
    <col min="5532" max="5532" width="11.7109375" style="92" customWidth="1"/>
    <col min="5533" max="5533" width="10.28515625" style="92" bestFit="1" customWidth="1"/>
    <col min="5534" max="5534" width="9.140625" style="92"/>
    <col min="5535" max="5535" width="11" style="92" bestFit="1" customWidth="1"/>
    <col min="5536" max="5536" width="10" style="92" bestFit="1" customWidth="1"/>
    <col min="5537" max="5537" width="10.28515625" style="92" bestFit="1" customWidth="1"/>
    <col min="5538" max="5538" width="9.28515625" style="92" bestFit="1" customWidth="1"/>
    <col min="5539" max="5539" width="11.28515625" style="92" bestFit="1" customWidth="1"/>
    <col min="5540" max="5540" width="9.42578125" style="92" bestFit="1" customWidth="1"/>
    <col min="5541" max="5541" width="8.140625" style="92" bestFit="1" customWidth="1"/>
    <col min="5542" max="5542" width="10" style="92" bestFit="1" customWidth="1"/>
    <col min="5543" max="5543" width="10.28515625" style="92" bestFit="1" customWidth="1"/>
    <col min="5544" max="5544" width="8.7109375" style="92" customWidth="1"/>
    <col min="5545" max="5545" width="10.28515625" style="92" bestFit="1" customWidth="1"/>
    <col min="5546" max="5546" width="11.28515625" style="92" bestFit="1" customWidth="1"/>
    <col min="5547" max="5547" width="10.85546875" style="92" bestFit="1" customWidth="1"/>
    <col min="5548" max="5548" width="9.85546875" style="92" bestFit="1" customWidth="1"/>
    <col min="5549" max="5550" width="9.140625" style="92"/>
    <col min="5551" max="5551" width="9.85546875" style="92" bestFit="1" customWidth="1"/>
    <col min="5552" max="5555" width="9.140625" style="92"/>
    <col min="5556" max="5556" width="13.5703125" style="92" bestFit="1" customWidth="1"/>
    <col min="5557" max="5557" width="10.28515625" style="92" bestFit="1" customWidth="1"/>
    <col min="5558" max="5672" width="9.140625" style="92"/>
    <col min="5673" max="5673" width="3.7109375" style="92" customWidth="1"/>
    <col min="5674" max="5674" width="26.5703125" style="92" customWidth="1"/>
    <col min="5675" max="5676" width="13.7109375" style="92" customWidth="1"/>
    <col min="5677" max="5677" width="11.42578125" style="92" customWidth="1"/>
    <col min="5678" max="5678" width="13.42578125" style="92" customWidth="1"/>
    <col min="5679" max="5679" width="11.140625" style="92" customWidth="1"/>
    <col min="5680" max="5680" width="10.28515625" style="92" customWidth="1"/>
    <col min="5681" max="5681" width="9.42578125" style="92" customWidth="1"/>
    <col min="5682" max="5682" width="8.140625" style="92" customWidth="1"/>
    <col min="5683" max="5683" width="11.42578125" style="92" customWidth="1"/>
    <col min="5684" max="5684" width="7.7109375" style="92" customWidth="1"/>
    <col min="5685" max="5685" width="9" style="92" customWidth="1"/>
    <col min="5686" max="5687" width="9.140625" style="92" customWidth="1"/>
    <col min="5688" max="5692" width="9.140625" style="92"/>
    <col min="5693" max="5693" width="9" style="92" customWidth="1"/>
    <col min="5694" max="5694" width="9.140625" style="92"/>
    <col min="5695" max="5695" width="15.140625" style="92" customWidth="1"/>
    <col min="5696" max="5704" width="9.140625" style="92"/>
    <col min="5705" max="5705" width="10.5703125" style="92" customWidth="1"/>
    <col min="5706" max="5710" width="9.140625" style="92"/>
    <col min="5711" max="5711" width="9" style="92" bestFit="1" customWidth="1"/>
    <col min="5712" max="5712" width="12.140625" style="92" customWidth="1"/>
    <col min="5713" max="5713" width="13.28515625" style="92" customWidth="1"/>
    <col min="5714" max="5714" width="9.140625" style="92"/>
    <col min="5715" max="5715" width="13.140625" style="92" customWidth="1"/>
    <col min="5716" max="5716" width="11.5703125" style="92" customWidth="1"/>
    <col min="5717" max="5717" width="15.42578125" style="92" bestFit="1" customWidth="1"/>
    <col min="5718" max="5735" width="9.140625" style="92"/>
    <col min="5736" max="5738" width="11.140625" style="92" customWidth="1"/>
    <col min="5739" max="5739" width="14.85546875" style="92" bestFit="1" customWidth="1"/>
    <col min="5740" max="5745" width="14.85546875" style="92" customWidth="1"/>
    <col min="5746" max="5749" width="11.140625" style="92" customWidth="1"/>
    <col min="5750" max="5750" width="11" style="92" customWidth="1"/>
    <col min="5751" max="5751" width="13.28515625" style="92" customWidth="1"/>
    <col min="5752" max="5752" width="12.42578125" style="92" customWidth="1"/>
    <col min="5753" max="5761" width="14.85546875" style="92" customWidth="1"/>
    <col min="5762" max="5762" width="13.140625" style="92" customWidth="1"/>
    <col min="5763" max="5763" width="13.7109375" style="92" customWidth="1"/>
    <col min="5764" max="5766" width="13.28515625" style="92" customWidth="1"/>
    <col min="5767" max="5767" width="15.7109375" style="92" customWidth="1"/>
    <col min="5768" max="5768" width="9.140625" style="92"/>
    <col min="5769" max="5769" width="10.28515625" style="92" bestFit="1" customWidth="1"/>
    <col min="5770" max="5770" width="11.5703125" style="92" bestFit="1" customWidth="1"/>
    <col min="5771" max="5771" width="9.140625" style="92" customWidth="1"/>
    <col min="5772" max="5772" width="10.42578125" style="92" customWidth="1"/>
    <col min="5773" max="5774" width="15.85546875" style="92" customWidth="1"/>
    <col min="5775" max="5776" width="16.85546875" style="92" customWidth="1"/>
    <col min="5777" max="5777" width="14.42578125" style="92" customWidth="1"/>
    <col min="5778" max="5779" width="14.28515625" style="92" customWidth="1"/>
    <col min="5780" max="5780" width="14.7109375" style="92" customWidth="1"/>
    <col min="5781" max="5781" width="15.7109375" style="92" customWidth="1"/>
    <col min="5782" max="5782" width="9.140625" style="92"/>
    <col min="5783" max="5783" width="10.28515625" style="92" bestFit="1" customWidth="1"/>
    <col min="5784" max="5784" width="9.140625" style="92"/>
    <col min="5785" max="5785" width="11.5703125" style="92" bestFit="1" customWidth="1"/>
    <col min="5786" max="5786" width="9.28515625" style="92" bestFit="1" customWidth="1"/>
    <col min="5787" max="5787" width="9.140625" style="92"/>
    <col min="5788" max="5788" width="11.7109375" style="92" customWidth="1"/>
    <col min="5789" max="5789" width="10.28515625" style="92" bestFit="1" customWidth="1"/>
    <col min="5790" max="5790" width="9.140625" style="92"/>
    <col min="5791" max="5791" width="11" style="92" bestFit="1" customWidth="1"/>
    <col min="5792" max="5792" width="10" style="92" bestFit="1" customWidth="1"/>
    <col min="5793" max="5793" width="10.28515625" style="92" bestFit="1" customWidth="1"/>
    <col min="5794" max="5794" width="9.28515625" style="92" bestFit="1" customWidth="1"/>
    <col min="5795" max="5795" width="11.28515625" style="92" bestFit="1" customWidth="1"/>
    <col min="5796" max="5796" width="9.42578125" style="92" bestFit="1" customWidth="1"/>
    <col min="5797" max="5797" width="8.140625" style="92" bestFit="1" customWidth="1"/>
    <col min="5798" max="5798" width="10" style="92" bestFit="1" customWidth="1"/>
    <col min="5799" max="5799" width="10.28515625" style="92" bestFit="1" customWidth="1"/>
    <col min="5800" max="5800" width="8.7109375" style="92" customWidth="1"/>
    <col min="5801" max="5801" width="10.28515625" style="92" bestFit="1" customWidth="1"/>
    <col min="5802" max="5802" width="11.28515625" style="92" bestFit="1" customWidth="1"/>
    <col min="5803" max="5803" width="10.85546875" style="92" bestFit="1" customWidth="1"/>
    <col min="5804" max="5804" width="9.85546875" style="92" bestFit="1" customWidth="1"/>
    <col min="5805" max="5806" width="9.140625" style="92"/>
    <col min="5807" max="5807" width="9.85546875" style="92" bestFit="1" customWidth="1"/>
    <col min="5808" max="5811" width="9.140625" style="92"/>
    <col min="5812" max="5812" width="13.5703125" style="92" bestFit="1" customWidth="1"/>
    <col min="5813" max="5813" width="10.28515625" style="92" bestFit="1" customWidth="1"/>
    <col min="5814" max="5928" width="9.140625" style="92"/>
    <col min="5929" max="5929" width="3.7109375" style="92" customWidth="1"/>
    <col min="5930" max="5930" width="26.5703125" style="92" customWidth="1"/>
    <col min="5931" max="5932" width="13.7109375" style="92" customWidth="1"/>
    <col min="5933" max="5933" width="11.42578125" style="92" customWidth="1"/>
    <col min="5934" max="5934" width="13.42578125" style="92" customWidth="1"/>
    <col min="5935" max="5935" width="11.140625" style="92" customWidth="1"/>
    <col min="5936" max="5936" width="10.28515625" style="92" customWidth="1"/>
    <col min="5937" max="5937" width="9.42578125" style="92" customWidth="1"/>
    <col min="5938" max="5938" width="8.140625" style="92" customWidth="1"/>
    <col min="5939" max="5939" width="11.42578125" style="92" customWidth="1"/>
    <col min="5940" max="5940" width="7.7109375" style="92" customWidth="1"/>
    <col min="5941" max="5941" width="9" style="92" customWidth="1"/>
    <col min="5942" max="5943" width="9.140625" style="92" customWidth="1"/>
    <col min="5944" max="5948" width="9.140625" style="92"/>
    <col min="5949" max="5949" width="9" style="92" customWidth="1"/>
    <col min="5950" max="5950" width="9.140625" style="92"/>
    <col min="5951" max="5951" width="15.140625" style="92" customWidth="1"/>
    <col min="5952" max="5960" width="9.140625" style="92"/>
    <col min="5961" max="5961" width="10.5703125" style="92" customWidth="1"/>
    <col min="5962" max="5966" width="9.140625" style="92"/>
    <col min="5967" max="5967" width="9" style="92" bestFit="1" customWidth="1"/>
    <col min="5968" max="5968" width="12.140625" style="92" customWidth="1"/>
    <col min="5969" max="5969" width="13.28515625" style="92" customWidth="1"/>
    <col min="5970" max="5970" width="9.140625" style="92"/>
    <col min="5971" max="5971" width="13.140625" style="92" customWidth="1"/>
    <col min="5972" max="5972" width="11.5703125" style="92" customWidth="1"/>
    <col min="5973" max="5973" width="15.42578125" style="92" bestFit="1" customWidth="1"/>
    <col min="5974" max="5991" width="9.140625" style="92"/>
    <col min="5992" max="5994" width="11.140625" style="92" customWidth="1"/>
    <col min="5995" max="5995" width="14.85546875" style="92" bestFit="1" customWidth="1"/>
    <col min="5996" max="6001" width="14.85546875" style="92" customWidth="1"/>
    <col min="6002" max="6005" width="11.140625" style="92" customWidth="1"/>
    <col min="6006" max="6006" width="11" style="92" customWidth="1"/>
    <col min="6007" max="6007" width="13.28515625" style="92" customWidth="1"/>
    <col min="6008" max="6008" width="12.42578125" style="92" customWidth="1"/>
    <col min="6009" max="6017" width="14.85546875" style="92" customWidth="1"/>
    <col min="6018" max="6018" width="13.140625" style="92" customWidth="1"/>
    <col min="6019" max="6019" width="13.7109375" style="92" customWidth="1"/>
    <col min="6020" max="6022" width="13.28515625" style="92" customWidth="1"/>
    <col min="6023" max="6023" width="15.7109375" style="92" customWidth="1"/>
    <col min="6024" max="6024" width="9.140625" style="92"/>
    <col min="6025" max="6025" width="10.28515625" style="92" bestFit="1" customWidth="1"/>
    <col min="6026" max="6026" width="11.5703125" style="92" bestFit="1" customWidth="1"/>
    <col min="6027" max="6027" width="9.140625" style="92" customWidth="1"/>
    <col min="6028" max="6028" width="10.42578125" style="92" customWidth="1"/>
    <col min="6029" max="6030" width="15.85546875" style="92" customWidth="1"/>
    <col min="6031" max="6032" width="16.85546875" style="92" customWidth="1"/>
    <col min="6033" max="6033" width="14.42578125" style="92" customWidth="1"/>
    <col min="6034" max="6035" width="14.28515625" style="92" customWidth="1"/>
    <col min="6036" max="6036" width="14.7109375" style="92" customWidth="1"/>
    <col min="6037" max="6037" width="15.7109375" style="92" customWidth="1"/>
    <col min="6038" max="6038" width="9.140625" style="92"/>
    <col min="6039" max="6039" width="10.28515625" style="92" bestFit="1" customWidth="1"/>
    <col min="6040" max="6040" width="9.140625" style="92"/>
    <col min="6041" max="6041" width="11.5703125" style="92" bestFit="1" customWidth="1"/>
    <col min="6042" max="6042" width="9.28515625" style="92" bestFit="1" customWidth="1"/>
    <col min="6043" max="6043" width="9.140625" style="92"/>
    <col min="6044" max="6044" width="11.7109375" style="92" customWidth="1"/>
    <col min="6045" max="6045" width="10.28515625" style="92" bestFit="1" customWidth="1"/>
    <col min="6046" max="6046" width="9.140625" style="92"/>
    <col min="6047" max="6047" width="11" style="92" bestFit="1" customWidth="1"/>
    <col min="6048" max="6048" width="10" style="92" bestFit="1" customWidth="1"/>
    <col min="6049" max="6049" width="10.28515625" style="92" bestFit="1" customWidth="1"/>
    <col min="6050" max="6050" width="9.28515625" style="92" bestFit="1" customWidth="1"/>
    <col min="6051" max="6051" width="11.28515625" style="92" bestFit="1" customWidth="1"/>
    <col min="6052" max="6052" width="9.42578125" style="92" bestFit="1" customWidth="1"/>
    <col min="6053" max="6053" width="8.140625" style="92" bestFit="1" customWidth="1"/>
    <col min="6054" max="6054" width="10" style="92" bestFit="1" customWidth="1"/>
    <col min="6055" max="6055" width="10.28515625" style="92" bestFit="1" customWidth="1"/>
    <col min="6056" max="6056" width="8.7109375" style="92" customWidth="1"/>
    <col min="6057" max="6057" width="10.28515625" style="92" bestFit="1" customWidth="1"/>
    <col min="6058" max="6058" width="11.28515625" style="92" bestFit="1" customWidth="1"/>
    <col min="6059" max="6059" width="10.85546875" style="92" bestFit="1" customWidth="1"/>
    <col min="6060" max="6060" width="9.85546875" style="92" bestFit="1" customWidth="1"/>
    <col min="6061" max="6062" width="9.140625" style="92"/>
    <col min="6063" max="6063" width="9.85546875" style="92" bestFit="1" customWidth="1"/>
    <col min="6064" max="6067" width="9.140625" style="92"/>
    <col min="6068" max="6068" width="13.5703125" style="92" bestFit="1" customWidth="1"/>
    <col min="6069" max="6069" width="10.28515625" style="92" bestFit="1" customWidth="1"/>
    <col min="6070" max="6184" width="9.140625" style="92"/>
    <col min="6185" max="6185" width="3.7109375" style="92" customWidth="1"/>
    <col min="6186" max="6186" width="26.5703125" style="92" customWidth="1"/>
    <col min="6187" max="6188" width="13.7109375" style="92" customWidth="1"/>
    <col min="6189" max="6189" width="11.42578125" style="92" customWidth="1"/>
    <col min="6190" max="6190" width="13.42578125" style="92" customWidth="1"/>
    <col min="6191" max="6191" width="11.140625" style="92" customWidth="1"/>
    <col min="6192" max="6192" width="10.28515625" style="92" customWidth="1"/>
    <col min="6193" max="6193" width="9.42578125" style="92" customWidth="1"/>
    <col min="6194" max="6194" width="8.140625" style="92" customWidth="1"/>
    <col min="6195" max="6195" width="11.42578125" style="92" customWidth="1"/>
    <col min="6196" max="6196" width="7.7109375" style="92" customWidth="1"/>
    <col min="6197" max="6197" width="9" style="92" customWidth="1"/>
    <col min="6198" max="6199" width="9.140625" style="92" customWidth="1"/>
    <col min="6200" max="6204" width="9.140625" style="92"/>
    <col min="6205" max="6205" width="9" style="92" customWidth="1"/>
    <col min="6206" max="6206" width="9.140625" style="92"/>
    <col min="6207" max="6207" width="15.140625" style="92" customWidth="1"/>
    <col min="6208" max="6216" width="9.140625" style="92"/>
    <col min="6217" max="6217" width="10.5703125" style="92" customWidth="1"/>
    <col min="6218" max="6222" width="9.140625" style="92"/>
    <col min="6223" max="6223" width="9" style="92" bestFit="1" customWidth="1"/>
    <col min="6224" max="6224" width="12.140625" style="92" customWidth="1"/>
    <col min="6225" max="6225" width="13.28515625" style="92" customWidth="1"/>
    <col min="6226" max="6226" width="9.140625" style="92"/>
    <col min="6227" max="6227" width="13.140625" style="92" customWidth="1"/>
    <col min="6228" max="6228" width="11.5703125" style="92" customWidth="1"/>
    <col min="6229" max="6229" width="15.42578125" style="92" bestFit="1" customWidth="1"/>
    <col min="6230" max="6247" width="9.140625" style="92"/>
    <col min="6248" max="6250" width="11.140625" style="92" customWidth="1"/>
    <col min="6251" max="6251" width="14.85546875" style="92" bestFit="1" customWidth="1"/>
    <col min="6252" max="6257" width="14.85546875" style="92" customWidth="1"/>
    <col min="6258" max="6261" width="11.140625" style="92" customWidth="1"/>
    <col min="6262" max="6262" width="11" style="92" customWidth="1"/>
    <col min="6263" max="6263" width="13.28515625" style="92" customWidth="1"/>
    <col min="6264" max="6264" width="12.42578125" style="92" customWidth="1"/>
    <col min="6265" max="6273" width="14.85546875" style="92" customWidth="1"/>
    <col min="6274" max="6274" width="13.140625" style="92" customWidth="1"/>
    <col min="6275" max="6275" width="13.7109375" style="92" customWidth="1"/>
    <col min="6276" max="6278" width="13.28515625" style="92" customWidth="1"/>
    <col min="6279" max="6279" width="15.7109375" style="92" customWidth="1"/>
    <col min="6280" max="6280" width="9.140625" style="92"/>
    <col min="6281" max="6281" width="10.28515625" style="92" bestFit="1" customWidth="1"/>
    <col min="6282" max="6282" width="11.5703125" style="92" bestFit="1" customWidth="1"/>
    <col min="6283" max="6283" width="9.140625" style="92" customWidth="1"/>
    <col min="6284" max="6284" width="10.42578125" style="92" customWidth="1"/>
    <col min="6285" max="6286" width="15.85546875" style="92" customWidth="1"/>
    <col min="6287" max="6288" width="16.85546875" style="92" customWidth="1"/>
    <col min="6289" max="6289" width="14.42578125" style="92" customWidth="1"/>
    <col min="6290" max="6291" width="14.28515625" style="92" customWidth="1"/>
    <col min="6292" max="6292" width="14.7109375" style="92" customWidth="1"/>
    <col min="6293" max="6293" width="15.7109375" style="92" customWidth="1"/>
    <col min="6294" max="6294" width="9.140625" style="92"/>
    <col min="6295" max="6295" width="10.28515625" style="92" bestFit="1" customWidth="1"/>
    <col min="6296" max="6296" width="9.140625" style="92"/>
    <col min="6297" max="6297" width="11.5703125" style="92" bestFit="1" customWidth="1"/>
    <col min="6298" max="6298" width="9.28515625" style="92" bestFit="1" customWidth="1"/>
    <col min="6299" max="6299" width="9.140625" style="92"/>
    <col min="6300" max="6300" width="11.7109375" style="92" customWidth="1"/>
    <col min="6301" max="6301" width="10.28515625" style="92" bestFit="1" customWidth="1"/>
    <col min="6302" max="6302" width="9.140625" style="92"/>
    <col min="6303" max="6303" width="11" style="92" bestFit="1" customWidth="1"/>
    <col min="6304" max="6304" width="10" style="92" bestFit="1" customWidth="1"/>
    <col min="6305" max="6305" width="10.28515625" style="92" bestFit="1" customWidth="1"/>
    <col min="6306" max="6306" width="9.28515625" style="92" bestFit="1" customWidth="1"/>
    <col min="6307" max="6307" width="11.28515625" style="92" bestFit="1" customWidth="1"/>
    <col min="6308" max="6308" width="9.42578125" style="92" bestFit="1" customWidth="1"/>
    <col min="6309" max="6309" width="8.140625" style="92" bestFit="1" customWidth="1"/>
    <col min="6310" max="6310" width="10" style="92" bestFit="1" customWidth="1"/>
    <col min="6311" max="6311" width="10.28515625" style="92" bestFit="1" customWidth="1"/>
    <col min="6312" max="6312" width="8.7109375" style="92" customWidth="1"/>
    <col min="6313" max="6313" width="10.28515625" style="92" bestFit="1" customWidth="1"/>
    <col min="6314" max="6314" width="11.28515625" style="92" bestFit="1" customWidth="1"/>
    <col min="6315" max="6315" width="10.85546875" style="92" bestFit="1" customWidth="1"/>
    <col min="6316" max="6316" width="9.85546875" style="92" bestFit="1" customWidth="1"/>
    <col min="6317" max="6318" width="9.140625" style="92"/>
    <col min="6319" max="6319" width="9.85546875" style="92" bestFit="1" customWidth="1"/>
    <col min="6320" max="6323" width="9.140625" style="92"/>
    <col min="6324" max="6324" width="13.5703125" style="92" bestFit="1" customWidth="1"/>
    <col min="6325" max="6325" width="10.28515625" style="92" bestFit="1" customWidth="1"/>
    <col min="6326" max="6440" width="9.140625" style="92"/>
    <col min="6441" max="6441" width="3.7109375" style="92" customWidth="1"/>
    <col min="6442" max="6442" width="26.5703125" style="92" customWidth="1"/>
    <col min="6443" max="6444" width="13.7109375" style="92" customWidth="1"/>
    <col min="6445" max="6445" width="11.42578125" style="92" customWidth="1"/>
    <col min="6446" max="6446" width="13.42578125" style="92" customWidth="1"/>
    <col min="6447" max="6447" width="11.140625" style="92" customWidth="1"/>
    <col min="6448" max="6448" width="10.28515625" style="92" customWidth="1"/>
    <col min="6449" max="6449" width="9.42578125" style="92" customWidth="1"/>
    <col min="6450" max="6450" width="8.140625" style="92" customWidth="1"/>
    <col min="6451" max="6451" width="11.42578125" style="92" customWidth="1"/>
    <col min="6452" max="6452" width="7.7109375" style="92" customWidth="1"/>
    <col min="6453" max="6453" width="9" style="92" customWidth="1"/>
    <col min="6454" max="6455" width="9.140625" style="92" customWidth="1"/>
    <col min="6456" max="6460" width="9.140625" style="92"/>
    <col min="6461" max="6461" width="9" style="92" customWidth="1"/>
    <col min="6462" max="6462" width="9.140625" style="92"/>
    <col min="6463" max="6463" width="15.140625" style="92" customWidth="1"/>
    <col min="6464" max="6472" width="9.140625" style="92"/>
    <col min="6473" max="6473" width="10.5703125" style="92" customWidth="1"/>
    <col min="6474" max="6478" width="9.140625" style="92"/>
    <col min="6479" max="6479" width="9" style="92" bestFit="1" customWidth="1"/>
    <col min="6480" max="6480" width="12.140625" style="92" customWidth="1"/>
    <col min="6481" max="6481" width="13.28515625" style="92" customWidth="1"/>
    <col min="6482" max="6482" width="9.140625" style="92"/>
    <col min="6483" max="6483" width="13.140625" style="92" customWidth="1"/>
    <col min="6484" max="6484" width="11.5703125" style="92" customWidth="1"/>
    <col min="6485" max="6485" width="15.42578125" style="92" bestFit="1" customWidth="1"/>
    <col min="6486" max="6503" width="9.140625" style="92"/>
    <col min="6504" max="6506" width="11.140625" style="92" customWidth="1"/>
    <col min="6507" max="6507" width="14.85546875" style="92" bestFit="1" customWidth="1"/>
    <col min="6508" max="6513" width="14.85546875" style="92" customWidth="1"/>
    <col min="6514" max="6517" width="11.140625" style="92" customWidth="1"/>
    <col min="6518" max="6518" width="11" style="92" customWidth="1"/>
    <col min="6519" max="6519" width="13.28515625" style="92" customWidth="1"/>
    <col min="6520" max="6520" width="12.42578125" style="92" customWidth="1"/>
    <col min="6521" max="6529" width="14.85546875" style="92" customWidth="1"/>
    <col min="6530" max="6530" width="13.140625" style="92" customWidth="1"/>
    <col min="6531" max="6531" width="13.7109375" style="92" customWidth="1"/>
    <col min="6532" max="6534" width="13.28515625" style="92" customWidth="1"/>
    <col min="6535" max="6535" width="15.7109375" style="92" customWidth="1"/>
    <col min="6536" max="6536" width="9.140625" style="92"/>
    <col min="6537" max="6537" width="10.28515625" style="92" bestFit="1" customWidth="1"/>
    <col min="6538" max="6538" width="11.5703125" style="92" bestFit="1" customWidth="1"/>
    <col min="6539" max="6539" width="9.140625" style="92" customWidth="1"/>
    <col min="6540" max="6540" width="10.42578125" style="92" customWidth="1"/>
    <col min="6541" max="6542" width="15.85546875" style="92" customWidth="1"/>
    <col min="6543" max="6544" width="16.85546875" style="92" customWidth="1"/>
    <col min="6545" max="6545" width="14.42578125" style="92" customWidth="1"/>
    <col min="6546" max="6547" width="14.28515625" style="92" customWidth="1"/>
    <col min="6548" max="6548" width="14.7109375" style="92" customWidth="1"/>
    <col min="6549" max="6549" width="15.7109375" style="92" customWidth="1"/>
    <col min="6550" max="6550" width="9.140625" style="92"/>
    <col min="6551" max="6551" width="10.28515625" style="92" bestFit="1" customWidth="1"/>
    <col min="6552" max="6552" width="9.140625" style="92"/>
    <col min="6553" max="6553" width="11.5703125" style="92" bestFit="1" customWidth="1"/>
    <col min="6554" max="6554" width="9.28515625" style="92" bestFit="1" customWidth="1"/>
    <col min="6555" max="6555" width="9.140625" style="92"/>
    <col min="6556" max="6556" width="11.7109375" style="92" customWidth="1"/>
    <col min="6557" max="6557" width="10.28515625" style="92" bestFit="1" customWidth="1"/>
    <col min="6558" max="6558" width="9.140625" style="92"/>
    <col min="6559" max="6559" width="11" style="92" bestFit="1" customWidth="1"/>
    <col min="6560" max="6560" width="10" style="92" bestFit="1" customWidth="1"/>
    <col min="6561" max="6561" width="10.28515625" style="92" bestFit="1" customWidth="1"/>
    <col min="6562" max="6562" width="9.28515625" style="92" bestFit="1" customWidth="1"/>
    <col min="6563" max="6563" width="11.28515625" style="92" bestFit="1" customWidth="1"/>
    <col min="6564" max="6564" width="9.42578125" style="92" bestFit="1" customWidth="1"/>
    <col min="6565" max="6565" width="8.140625" style="92" bestFit="1" customWidth="1"/>
    <col min="6566" max="6566" width="10" style="92" bestFit="1" customWidth="1"/>
    <col min="6567" max="6567" width="10.28515625" style="92" bestFit="1" customWidth="1"/>
    <col min="6568" max="6568" width="8.7109375" style="92" customWidth="1"/>
    <col min="6569" max="6569" width="10.28515625" style="92" bestFit="1" customWidth="1"/>
    <col min="6570" max="6570" width="11.28515625" style="92" bestFit="1" customWidth="1"/>
    <col min="6571" max="6571" width="10.85546875" style="92" bestFit="1" customWidth="1"/>
    <col min="6572" max="6572" width="9.85546875" style="92" bestFit="1" customWidth="1"/>
    <col min="6573" max="6574" width="9.140625" style="92"/>
    <col min="6575" max="6575" width="9.85546875" style="92" bestFit="1" customWidth="1"/>
    <col min="6576" max="6579" width="9.140625" style="92"/>
    <col min="6580" max="6580" width="13.5703125" style="92" bestFit="1" customWidth="1"/>
    <col min="6581" max="6581" width="10.28515625" style="92" bestFit="1" customWidth="1"/>
    <col min="6582" max="6696" width="9.140625" style="92"/>
    <col min="6697" max="6697" width="3.7109375" style="92" customWidth="1"/>
    <col min="6698" max="6698" width="26.5703125" style="92" customWidth="1"/>
    <col min="6699" max="6700" width="13.7109375" style="92" customWidth="1"/>
    <col min="6701" max="6701" width="11.42578125" style="92" customWidth="1"/>
    <col min="6702" max="6702" width="13.42578125" style="92" customWidth="1"/>
    <col min="6703" max="6703" width="11.140625" style="92" customWidth="1"/>
    <col min="6704" max="6704" width="10.28515625" style="92" customWidth="1"/>
    <col min="6705" max="6705" width="9.42578125" style="92" customWidth="1"/>
    <col min="6706" max="6706" width="8.140625" style="92" customWidth="1"/>
    <col min="6707" max="6707" width="11.42578125" style="92" customWidth="1"/>
    <col min="6708" max="6708" width="7.7109375" style="92" customWidth="1"/>
    <col min="6709" max="6709" width="9" style="92" customWidth="1"/>
    <col min="6710" max="6711" width="9.140625" style="92" customWidth="1"/>
    <col min="6712" max="6716" width="9.140625" style="92"/>
    <col min="6717" max="6717" width="9" style="92" customWidth="1"/>
    <col min="6718" max="6718" width="9.140625" style="92"/>
    <col min="6719" max="6719" width="15.140625" style="92" customWidth="1"/>
    <col min="6720" max="6728" width="9.140625" style="92"/>
    <col min="6729" max="6729" width="10.5703125" style="92" customWidth="1"/>
    <col min="6730" max="6734" width="9.140625" style="92"/>
    <col min="6735" max="6735" width="9" style="92" bestFit="1" customWidth="1"/>
    <col min="6736" max="6736" width="12.140625" style="92" customWidth="1"/>
    <col min="6737" max="6737" width="13.28515625" style="92" customWidth="1"/>
    <col min="6738" max="6738" width="9.140625" style="92"/>
    <col min="6739" max="6739" width="13.140625" style="92" customWidth="1"/>
    <col min="6740" max="6740" width="11.5703125" style="92" customWidth="1"/>
    <col min="6741" max="6741" width="15.42578125" style="92" bestFit="1" customWidth="1"/>
    <col min="6742" max="6759" width="9.140625" style="92"/>
    <col min="6760" max="6762" width="11.140625" style="92" customWidth="1"/>
    <col min="6763" max="6763" width="14.85546875" style="92" bestFit="1" customWidth="1"/>
    <col min="6764" max="6769" width="14.85546875" style="92" customWidth="1"/>
    <col min="6770" max="6773" width="11.140625" style="92" customWidth="1"/>
    <col min="6774" max="6774" width="11" style="92" customWidth="1"/>
    <col min="6775" max="6775" width="13.28515625" style="92" customWidth="1"/>
    <col min="6776" max="6776" width="12.42578125" style="92" customWidth="1"/>
    <col min="6777" max="6785" width="14.85546875" style="92" customWidth="1"/>
    <col min="6786" max="6786" width="13.140625" style="92" customWidth="1"/>
    <col min="6787" max="6787" width="13.7109375" style="92" customWidth="1"/>
    <col min="6788" max="6790" width="13.28515625" style="92" customWidth="1"/>
    <col min="6791" max="6791" width="15.7109375" style="92" customWidth="1"/>
    <col min="6792" max="6792" width="9.140625" style="92"/>
    <col min="6793" max="6793" width="10.28515625" style="92" bestFit="1" customWidth="1"/>
    <col min="6794" max="6794" width="11.5703125" style="92" bestFit="1" customWidth="1"/>
    <col min="6795" max="6795" width="9.140625" style="92" customWidth="1"/>
    <col min="6796" max="6796" width="10.42578125" style="92" customWidth="1"/>
    <col min="6797" max="6798" width="15.85546875" style="92" customWidth="1"/>
    <col min="6799" max="6800" width="16.85546875" style="92" customWidth="1"/>
    <col min="6801" max="6801" width="14.42578125" style="92" customWidth="1"/>
    <col min="6802" max="6803" width="14.28515625" style="92" customWidth="1"/>
    <col min="6804" max="6804" width="14.7109375" style="92" customWidth="1"/>
    <col min="6805" max="6805" width="15.7109375" style="92" customWidth="1"/>
    <col min="6806" max="6806" width="9.140625" style="92"/>
    <col min="6807" max="6807" width="10.28515625" style="92" bestFit="1" customWidth="1"/>
    <col min="6808" max="6808" width="9.140625" style="92"/>
    <col min="6809" max="6809" width="11.5703125" style="92" bestFit="1" customWidth="1"/>
    <col min="6810" max="6810" width="9.28515625" style="92" bestFit="1" customWidth="1"/>
    <col min="6811" max="6811" width="9.140625" style="92"/>
    <col min="6812" max="6812" width="11.7109375" style="92" customWidth="1"/>
    <col min="6813" max="6813" width="10.28515625" style="92" bestFit="1" customWidth="1"/>
    <col min="6814" max="6814" width="9.140625" style="92"/>
    <col min="6815" max="6815" width="11" style="92" bestFit="1" customWidth="1"/>
    <col min="6816" max="6816" width="10" style="92" bestFit="1" customWidth="1"/>
    <col min="6817" max="6817" width="10.28515625" style="92" bestFit="1" customWidth="1"/>
    <col min="6818" max="6818" width="9.28515625" style="92" bestFit="1" customWidth="1"/>
    <col min="6819" max="6819" width="11.28515625" style="92" bestFit="1" customWidth="1"/>
    <col min="6820" max="6820" width="9.42578125" style="92" bestFit="1" customWidth="1"/>
    <col min="6821" max="6821" width="8.140625" style="92" bestFit="1" customWidth="1"/>
    <col min="6822" max="6822" width="10" style="92" bestFit="1" customWidth="1"/>
    <col min="6823" max="6823" width="10.28515625" style="92" bestFit="1" customWidth="1"/>
    <col min="6824" max="6824" width="8.7109375" style="92" customWidth="1"/>
    <col min="6825" max="6825" width="10.28515625" style="92" bestFit="1" customWidth="1"/>
    <col min="6826" max="6826" width="11.28515625" style="92" bestFit="1" customWidth="1"/>
    <col min="6827" max="6827" width="10.85546875" style="92" bestFit="1" customWidth="1"/>
    <col min="6828" max="6828" width="9.85546875" style="92" bestFit="1" customWidth="1"/>
    <col min="6829" max="6830" width="9.140625" style="92"/>
    <col min="6831" max="6831" width="9.85546875" style="92" bestFit="1" customWidth="1"/>
    <col min="6832" max="6835" width="9.140625" style="92"/>
    <col min="6836" max="6836" width="13.5703125" style="92" bestFit="1" customWidth="1"/>
    <col min="6837" max="6837" width="10.28515625" style="92" bestFit="1" customWidth="1"/>
    <col min="6838" max="6952" width="9.140625" style="92"/>
    <col min="6953" max="6953" width="3.7109375" style="92" customWidth="1"/>
    <col min="6954" max="6954" width="26.5703125" style="92" customWidth="1"/>
    <col min="6955" max="6956" width="13.7109375" style="92" customWidth="1"/>
    <col min="6957" max="6957" width="11.42578125" style="92" customWidth="1"/>
    <col min="6958" max="6958" width="13.42578125" style="92" customWidth="1"/>
    <col min="6959" max="6959" width="11.140625" style="92" customWidth="1"/>
    <col min="6960" max="6960" width="10.28515625" style="92" customWidth="1"/>
    <col min="6961" max="6961" width="9.42578125" style="92" customWidth="1"/>
    <col min="6962" max="6962" width="8.140625" style="92" customWidth="1"/>
    <col min="6963" max="6963" width="11.42578125" style="92" customWidth="1"/>
    <col min="6964" max="6964" width="7.7109375" style="92" customWidth="1"/>
    <col min="6965" max="6965" width="9" style="92" customWidth="1"/>
    <col min="6966" max="6967" width="9.140625" style="92" customWidth="1"/>
    <col min="6968" max="6972" width="9.140625" style="92"/>
    <col min="6973" max="6973" width="9" style="92" customWidth="1"/>
    <col min="6974" max="6974" width="9.140625" style="92"/>
    <col min="6975" max="6975" width="15.140625" style="92" customWidth="1"/>
    <col min="6976" max="6984" width="9.140625" style="92"/>
    <col min="6985" max="6985" width="10.5703125" style="92" customWidth="1"/>
    <col min="6986" max="6990" width="9.140625" style="92"/>
    <col min="6991" max="6991" width="9" style="92" bestFit="1" customWidth="1"/>
    <col min="6992" max="6992" width="12.140625" style="92" customWidth="1"/>
    <col min="6993" max="6993" width="13.28515625" style="92" customWidth="1"/>
    <col min="6994" max="6994" width="9.140625" style="92"/>
    <col min="6995" max="6995" width="13.140625" style="92" customWidth="1"/>
    <col min="6996" max="6996" width="11.5703125" style="92" customWidth="1"/>
    <col min="6997" max="6997" width="15.42578125" style="92" bestFit="1" customWidth="1"/>
    <col min="6998" max="7015" width="9.140625" style="92"/>
    <col min="7016" max="7018" width="11.140625" style="92" customWidth="1"/>
    <col min="7019" max="7019" width="14.85546875" style="92" bestFit="1" customWidth="1"/>
    <col min="7020" max="7025" width="14.85546875" style="92" customWidth="1"/>
    <col min="7026" max="7029" width="11.140625" style="92" customWidth="1"/>
    <col min="7030" max="7030" width="11" style="92" customWidth="1"/>
    <col min="7031" max="7031" width="13.28515625" style="92" customWidth="1"/>
    <col min="7032" max="7032" width="12.42578125" style="92" customWidth="1"/>
    <col min="7033" max="7041" width="14.85546875" style="92" customWidth="1"/>
    <col min="7042" max="7042" width="13.140625" style="92" customWidth="1"/>
    <col min="7043" max="7043" width="13.7109375" style="92" customWidth="1"/>
    <col min="7044" max="7046" width="13.28515625" style="92" customWidth="1"/>
    <col min="7047" max="7047" width="15.7109375" style="92" customWidth="1"/>
    <col min="7048" max="7048" width="9.140625" style="92"/>
    <col min="7049" max="7049" width="10.28515625" style="92" bestFit="1" customWidth="1"/>
    <col min="7050" max="7050" width="11.5703125" style="92" bestFit="1" customWidth="1"/>
    <col min="7051" max="7051" width="9.140625" style="92" customWidth="1"/>
    <col min="7052" max="7052" width="10.42578125" style="92" customWidth="1"/>
    <col min="7053" max="7054" width="15.85546875" style="92" customWidth="1"/>
    <col min="7055" max="7056" width="16.85546875" style="92" customWidth="1"/>
    <col min="7057" max="7057" width="14.42578125" style="92" customWidth="1"/>
    <col min="7058" max="7059" width="14.28515625" style="92" customWidth="1"/>
    <col min="7060" max="7060" width="14.7109375" style="92" customWidth="1"/>
    <col min="7061" max="7061" width="15.7109375" style="92" customWidth="1"/>
    <col min="7062" max="7062" width="9.140625" style="92"/>
    <col min="7063" max="7063" width="10.28515625" style="92" bestFit="1" customWidth="1"/>
    <col min="7064" max="7064" width="9.140625" style="92"/>
    <col min="7065" max="7065" width="11.5703125" style="92" bestFit="1" customWidth="1"/>
    <col min="7066" max="7066" width="9.28515625" style="92" bestFit="1" customWidth="1"/>
    <col min="7067" max="7067" width="9.140625" style="92"/>
    <col min="7068" max="7068" width="11.7109375" style="92" customWidth="1"/>
    <col min="7069" max="7069" width="10.28515625" style="92" bestFit="1" customWidth="1"/>
    <col min="7070" max="7070" width="9.140625" style="92"/>
    <col min="7071" max="7071" width="11" style="92" bestFit="1" customWidth="1"/>
    <col min="7072" max="7072" width="10" style="92" bestFit="1" customWidth="1"/>
    <col min="7073" max="7073" width="10.28515625" style="92" bestFit="1" customWidth="1"/>
    <col min="7074" max="7074" width="9.28515625" style="92" bestFit="1" customWidth="1"/>
    <col min="7075" max="7075" width="11.28515625" style="92" bestFit="1" customWidth="1"/>
    <col min="7076" max="7076" width="9.42578125" style="92" bestFit="1" customWidth="1"/>
    <col min="7077" max="7077" width="8.140625" style="92" bestFit="1" customWidth="1"/>
    <col min="7078" max="7078" width="10" style="92" bestFit="1" customWidth="1"/>
    <col min="7079" max="7079" width="10.28515625" style="92" bestFit="1" customWidth="1"/>
    <col min="7080" max="7080" width="8.7109375" style="92" customWidth="1"/>
    <col min="7081" max="7081" width="10.28515625" style="92" bestFit="1" customWidth="1"/>
    <col min="7082" max="7082" width="11.28515625" style="92" bestFit="1" customWidth="1"/>
    <col min="7083" max="7083" width="10.85546875" style="92" bestFit="1" customWidth="1"/>
    <col min="7084" max="7084" width="9.85546875" style="92" bestFit="1" customWidth="1"/>
    <col min="7085" max="7086" width="9.140625" style="92"/>
    <col min="7087" max="7087" width="9.85546875" style="92" bestFit="1" customWidth="1"/>
    <col min="7088" max="7091" width="9.140625" style="92"/>
    <col min="7092" max="7092" width="13.5703125" style="92" bestFit="1" customWidth="1"/>
    <col min="7093" max="7093" width="10.28515625" style="92" bestFit="1" customWidth="1"/>
    <col min="7094" max="7208" width="9.140625" style="92"/>
    <col min="7209" max="7209" width="3.7109375" style="92" customWidth="1"/>
    <col min="7210" max="7210" width="26.5703125" style="92" customWidth="1"/>
    <col min="7211" max="7212" width="13.7109375" style="92" customWidth="1"/>
    <col min="7213" max="7213" width="11.42578125" style="92" customWidth="1"/>
    <col min="7214" max="7214" width="13.42578125" style="92" customWidth="1"/>
    <col min="7215" max="7215" width="11.140625" style="92" customWidth="1"/>
    <col min="7216" max="7216" width="10.28515625" style="92" customWidth="1"/>
    <col min="7217" max="7217" width="9.42578125" style="92" customWidth="1"/>
    <col min="7218" max="7218" width="8.140625" style="92" customWidth="1"/>
    <col min="7219" max="7219" width="11.42578125" style="92" customWidth="1"/>
    <col min="7220" max="7220" width="7.7109375" style="92" customWidth="1"/>
    <col min="7221" max="7221" width="9" style="92" customWidth="1"/>
    <col min="7222" max="7223" width="9.140625" style="92" customWidth="1"/>
    <col min="7224" max="7228" width="9.140625" style="92"/>
    <col min="7229" max="7229" width="9" style="92" customWidth="1"/>
    <col min="7230" max="7230" width="9.140625" style="92"/>
    <col min="7231" max="7231" width="15.140625" style="92" customWidth="1"/>
    <col min="7232" max="7240" width="9.140625" style="92"/>
    <col min="7241" max="7241" width="10.5703125" style="92" customWidth="1"/>
    <col min="7242" max="7246" width="9.140625" style="92"/>
    <col min="7247" max="7247" width="9" style="92" bestFit="1" customWidth="1"/>
    <col min="7248" max="7248" width="12.140625" style="92" customWidth="1"/>
    <col min="7249" max="7249" width="13.28515625" style="92" customWidth="1"/>
    <col min="7250" max="7250" width="9.140625" style="92"/>
    <col min="7251" max="7251" width="13.140625" style="92" customWidth="1"/>
    <col min="7252" max="7252" width="11.5703125" style="92" customWidth="1"/>
    <col min="7253" max="7253" width="15.42578125" style="92" bestFit="1" customWidth="1"/>
    <col min="7254" max="7271" width="9.140625" style="92"/>
    <col min="7272" max="7274" width="11.140625" style="92" customWidth="1"/>
    <col min="7275" max="7275" width="14.85546875" style="92" bestFit="1" customWidth="1"/>
    <col min="7276" max="7281" width="14.85546875" style="92" customWidth="1"/>
    <col min="7282" max="7285" width="11.140625" style="92" customWidth="1"/>
    <col min="7286" max="7286" width="11" style="92" customWidth="1"/>
    <col min="7287" max="7287" width="13.28515625" style="92" customWidth="1"/>
    <col min="7288" max="7288" width="12.42578125" style="92" customWidth="1"/>
    <col min="7289" max="7297" width="14.85546875" style="92" customWidth="1"/>
    <col min="7298" max="7298" width="13.140625" style="92" customWidth="1"/>
    <col min="7299" max="7299" width="13.7109375" style="92" customWidth="1"/>
    <col min="7300" max="7302" width="13.28515625" style="92" customWidth="1"/>
    <col min="7303" max="7303" width="15.7109375" style="92" customWidth="1"/>
    <col min="7304" max="7304" width="9.140625" style="92"/>
    <col min="7305" max="7305" width="10.28515625" style="92" bestFit="1" customWidth="1"/>
    <col min="7306" max="7306" width="11.5703125" style="92" bestFit="1" customWidth="1"/>
    <col min="7307" max="7307" width="9.140625" style="92" customWidth="1"/>
    <col min="7308" max="7308" width="10.42578125" style="92" customWidth="1"/>
    <col min="7309" max="7310" width="15.85546875" style="92" customWidth="1"/>
    <col min="7311" max="7312" width="16.85546875" style="92" customWidth="1"/>
    <col min="7313" max="7313" width="14.42578125" style="92" customWidth="1"/>
    <col min="7314" max="7315" width="14.28515625" style="92" customWidth="1"/>
    <col min="7316" max="7316" width="14.7109375" style="92" customWidth="1"/>
    <col min="7317" max="7317" width="15.7109375" style="92" customWidth="1"/>
    <col min="7318" max="7318" width="9.140625" style="92"/>
    <col min="7319" max="7319" width="10.28515625" style="92" bestFit="1" customWidth="1"/>
    <col min="7320" max="7320" width="9.140625" style="92"/>
    <col min="7321" max="7321" width="11.5703125" style="92" bestFit="1" customWidth="1"/>
    <col min="7322" max="7322" width="9.28515625" style="92" bestFit="1" customWidth="1"/>
    <col min="7323" max="7323" width="9.140625" style="92"/>
    <col min="7324" max="7324" width="11.7109375" style="92" customWidth="1"/>
    <col min="7325" max="7325" width="10.28515625" style="92" bestFit="1" customWidth="1"/>
    <col min="7326" max="7326" width="9.140625" style="92"/>
    <col min="7327" max="7327" width="11" style="92" bestFit="1" customWidth="1"/>
    <col min="7328" max="7328" width="10" style="92" bestFit="1" customWidth="1"/>
    <col min="7329" max="7329" width="10.28515625" style="92" bestFit="1" customWidth="1"/>
    <col min="7330" max="7330" width="9.28515625" style="92" bestFit="1" customWidth="1"/>
    <col min="7331" max="7331" width="11.28515625" style="92" bestFit="1" customWidth="1"/>
    <col min="7332" max="7332" width="9.42578125" style="92" bestFit="1" customWidth="1"/>
    <col min="7333" max="7333" width="8.140625" style="92" bestFit="1" customWidth="1"/>
    <col min="7334" max="7334" width="10" style="92" bestFit="1" customWidth="1"/>
    <col min="7335" max="7335" width="10.28515625" style="92" bestFit="1" customWidth="1"/>
    <col min="7336" max="7336" width="8.7109375" style="92" customWidth="1"/>
    <col min="7337" max="7337" width="10.28515625" style="92" bestFit="1" customWidth="1"/>
    <col min="7338" max="7338" width="11.28515625" style="92" bestFit="1" customWidth="1"/>
    <col min="7339" max="7339" width="10.85546875" style="92" bestFit="1" customWidth="1"/>
    <col min="7340" max="7340" width="9.85546875" style="92" bestFit="1" customWidth="1"/>
    <col min="7341" max="7342" width="9.140625" style="92"/>
    <col min="7343" max="7343" width="9.85546875" style="92" bestFit="1" customWidth="1"/>
    <col min="7344" max="7347" width="9.140625" style="92"/>
    <col min="7348" max="7348" width="13.5703125" style="92" bestFit="1" customWidth="1"/>
    <col min="7349" max="7349" width="10.28515625" style="92" bestFit="1" customWidth="1"/>
    <col min="7350" max="7464" width="9.140625" style="92"/>
    <col min="7465" max="7465" width="3.7109375" style="92" customWidth="1"/>
    <col min="7466" max="7466" width="26.5703125" style="92" customWidth="1"/>
    <col min="7467" max="7468" width="13.7109375" style="92" customWidth="1"/>
    <col min="7469" max="7469" width="11.42578125" style="92" customWidth="1"/>
    <col min="7470" max="7470" width="13.42578125" style="92" customWidth="1"/>
    <col min="7471" max="7471" width="11.140625" style="92" customWidth="1"/>
    <col min="7472" max="7472" width="10.28515625" style="92" customWidth="1"/>
    <col min="7473" max="7473" width="9.42578125" style="92" customWidth="1"/>
    <col min="7474" max="7474" width="8.140625" style="92" customWidth="1"/>
    <col min="7475" max="7475" width="11.42578125" style="92" customWidth="1"/>
    <col min="7476" max="7476" width="7.7109375" style="92" customWidth="1"/>
    <col min="7477" max="7477" width="9" style="92" customWidth="1"/>
    <col min="7478" max="7479" width="9.140625" style="92" customWidth="1"/>
    <col min="7480" max="7484" width="9.140625" style="92"/>
    <col min="7485" max="7485" width="9" style="92" customWidth="1"/>
    <col min="7486" max="7486" width="9.140625" style="92"/>
    <col min="7487" max="7487" width="15.140625" style="92" customWidth="1"/>
    <col min="7488" max="7496" width="9.140625" style="92"/>
    <col min="7497" max="7497" width="10.5703125" style="92" customWidth="1"/>
    <col min="7498" max="7502" width="9.140625" style="92"/>
    <col min="7503" max="7503" width="9" style="92" bestFit="1" customWidth="1"/>
    <col min="7504" max="7504" width="12.140625" style="92" customWidth="1"/>
    <col min="7505" max="7505" width="13.28515625" style="92" customWidth="1"/>
    <col min="7506" max="7506" width="9.140625" style="92"/>
    <col min="7507" max="7507" width="13.140625" style="92" customWidth="1"/>
    <col min="7508" max="7508" width="11.5703125" style="92" customWidth="1"/>
    <col min="7509" max="7509" width="15.42578125" style="92" bestFit="1" customWidth="1"/>
    <col min="7510" max="7527" width="9.140625" style="92"/>
    <col min="7528" max="7530" width="11.140625" style="92" customWidth="1"/>
    <col min="7531" max="7531" width="14.85546875" style="92" bestFit="1" customWidth="1"/>
    <col min="7532" max="7537" width="14.85546875" style="92" customWidth="1"/>
    <col min="7538" max="7541" width="11.140625" style="92" customWidth="1"/>
    <col min="7542" max="7542" width="11" style="92" customWidth="1"/>
    <col min="7543" max="7543" width="13.28515625" style="92" customWidth="1"/>
    <col min="7544" max="7544" width="12.42578125" style="92" customWidth="1"/>
    <col min="7545" max="7553" width="14.85546875" style="92" customWidth="1"/>
    <col min="7554" max="7554" width="13.140625" style="92" customWidth="1"/>
    <col min="7555" max="7555" width="13.7109375" style="92" customWidth="1"/>
    <col min="7556" max="7558" width="13.28515625" style="92" customWidth="1"/>
    <col min="7559" max="7559" width="15.7109375" style="92" customWidth="1"/>
    <col min="7560" max="7560" width="9.140625" style="92"/>
    <col min="7561" max="7561" width="10.28515625" style="92" bestFit="1" customWidth="1"/>
    <col min="7562" max="7562" width="11.5703125" style="92" bestFit="1" customWidth="1"/>
    <col min="7563" max="7563" width="9.140625" style="92" customWidth="1"/>
    <col min="7564" max="7564" width="10.42578125" style="92" customWidth="1"/>
    <col min="7565" max="7566" width="15.85546875" style="92" customWidth="1"/>
    <col min="7567" max="7568" width="16.85546875" style="92" customWidth="1"/>
    <col min="7569" max="7569" width="14.42578125" style="92" customWidth="1"/>
    <col min="7570" max="7571" width="14.28515625" style="92" customWidth="1"/>
    <col min="7572" max="7572" width="14.7109375" style="92" customWidth="1"/>
    <col min="7573" max="7573" width="15.7109375" style="92" customWidth="1"/>
    <col min="7574" max="7574" width="9.140625" style="92"/>
    <col min="7575" max="7575" width="10.28515625" style="92" bestFit="1" customWidth="1"/>
    <col min="7576" max="7576" width="9.140625" style="92"/>
    <col min="7577" max="7577" width="11.5703125" style="92" bestFit="1" customWidth="1"/>
    <col min="7578" max="7578" width="9.28515625" style="92" bestFit="1" customWidth="1"/>
    <col min="7579" max="7579" width="9.140625" style="92"/>
    <col min="7580" max="7580" width="11.7109375" style="92" customWidth="1"/>
    <col min="7581" max="7581" width="10.28515625" style="92" bestFit="1" customWidth="1"/>
    <col min="7582" max="7582" width="9.140625" style="92"/>
    <col min="7583" max="7583" width="11" style="92" bestFit="1" customWidth="1"/>
    <col min="7584" max="7584" width="10" style="92" bestFit="1" customWidth="1"/>
    <col min="7585" max="7585" width="10.28515625" style="92" bestFit="1" customWidth="1"/>
    <col min="7586" max="7586" width="9.28515625" style="92" bestFit="1" customWidth="1"/>
    <col min="7587" max="7587" width="11.28515625" style="92" bestFit="1" customWidth="1"/>
    <col min="7588" max="7588" width="9.42578125" style="92" bestFit="1" customWidth="1"/>
    <col min="7589" max="7589" width="8.140625" style="92" bestFit="1" customWidth="1"/>
    <col min="7590" max="7590" width="10" style="92" bestFit="1" customWidth="1"/>
    <col min="7591" max="7591" width="10.28515625" style="92" bestFit="1" customWidth="1"/>
    <col min="7592" max="7592" width="8.7109375" style="92" customWidth="1"/>
    <col min="7593" max="7593" width="10.28515625" style="92" bestFit="1" customWidth="1"/>
    <col min="7594" max="7594" width="11.28515625" style="92" bestFit="1" customWidth="1"/>
    <col min="7595" max="7595" width="10.85546875" style="92" bestFit="1" customWidth="1"/>
    <col min="7596" max="7596" width="9.85546875" style="92" bestFit="1" customWidth="1"/>
    <col min="7597" max="7598" width="9.140625" style="92"/>
    <col min="7599" max="7599" width="9.85546875" style="92" bestFit="1" customWidth="1"/>
    <col min="7600" max="7603" width="9.140625" style="92"/>
    <col min="7604" max="7604" width="13.5703125" style="92" bestFit="1" customWidth="1"/>
    <col min="7605" max="7605" width="10.28515625" style="92" bestFit="1" customWidth="1"/>
    <col min="7606" max="7720" width="9.140625" style="92"/>
    <col min="7721" max="7721" width="3.7109375" style="92" customWidth="1"/>
    <col min="7722" max="7722" width="26.5703125" style="92" customWidth="1"/>
    <col min="7723" max="7724" width="13.7109375" style="92" customWidth="1"/>
    <col min="7725" max="7725" width="11.42578125" style="92" customWidth="1"/>
    <col min="7726" max="7726" width="13.42578125" style="92" customWidth="1"/>
    <col min="7727" max="7727" width="11.140625" style="92" customWidth="1"/>
    <col min="7728" max="7728" width="10.28515625" style="92" customWidth="1"/>
    <col min="7729" max="7729" width="9.42578125" style="92" customWidth="1"/>
    <col min="7730" max="7730" width="8.140625" style="92" customWidth="1"/>
    <col min="7731" max="7731" width="11.42578125" style="92" customWidth="1"/>
    <col min="7732" max="7732" width="7.7109375" style="92" customWidth="1"/>
    <col min="7733" max="7733" width="9" style="92" customWidth="1"/>
    <col min="7734" max="7735" width="9.140625" style="92" customWidth="1"/>
    <col min="7736" max="7740" width="9.140625" style="92"/>
    <col min="7741" max="7741" width="9" style="92" customWidth="1"/>
    <col min="7742" max="7742" width="9.140625" style="92"/>
    <col min="7743" max="7743" width="15.140625" style="92" customWidth="1"/>
    <col min="7744" max="7752" width="9.140625" style="92"/>
    <col min="7753" max="7753" width="10.5703125" style="92" customWidth="1"/>
    <col min="7754" max="7758" width="9.140625" style="92"/>
    <col min="7759" max="7759" width="9" style="92" bestFit="1" customWidth="1"/>
    <col min="7760" max="7760" width="12.140625" style="92" customWidth="1"/>
    <col min="7761" max="7761" width="13.28515625" style="92" customWidth="1"/>
    <col min="7762" max="7762" width="9.140625" style="92"/>
    <col min="7763" max="7763" width="13.140625" style="92" customWidth="1"/>
    <col min="7764" max="7764" width="11.5703125" style="92" customWidth="1"/>
    <col min="7765" max="7765" width="15.42578125" style="92" bestFit="1" customWidth="1"/>
    <col min="7766" max="7783" width="9.140625" style="92"/>
    <col min="7784" max="7786" width="11.140625" style="92" customWidth="1"/>
    <col min="7787" max="7787" width="14.85546875" style="92" bestFit="1" customWidth="1"/>
    <col min="7788" max="7793" width="14.85546875" style="92" customWidth="1"/>
    <col min="7794" max="7797" width="11.140625" style="92" customWidth="1"/>
    <col min="7798" max="7798" width="11" style="92" customWidth="1"/>
    <col min="7799" max="7799" width="13.28515625" style="92" customWidth="1"/>
    <col min="7800" max="7800" width="12.42578125" style="92" customWidth="1"/>
    <col min="7801" max="7809" width="14.85546875" style="92" customWidth="1"/>
    <col min="7810" max="7810" width="13.140625" style="92" customWidth="1"/>
    <col min="7811" max="7811" width="13.7109375" style="92" customWidth="1"/>
    <col min="7812" max="7814" width="13.28515625" style="92" customWidth="1"/>
    <col min="7815" max="7815" width="15.7109375" style="92" customWidth="1"/>
    <col min="7816" max="7816" width="9.140625" style="92"/>
    <col min="7817" max="7817" width="10.28515625" style="92" bestFit="1" customWidth="1"/>
    <col min="7818" max="7818" width="11.5703125" style="92" bestFit="1" customWidth="1"/>
    <col min="7819" max="7819" width="9.140625" style="92" customWidth="1"/>
    <col min="7820" max="7820" width="10.42578125" style="92" customWidth="1"/>
    <col min="7821" max="7822" width="15.85546875" style="92" customWidth="1"/>
    <col min="7823" max="7824" width="16.85546875" style="92" customWidth="1"/>
    <col min="7825" max="7825" width="14.42578125" style="92" customWidth="1"/>
    <col min="7826" max="7827" width="14.28515625" style="92" customWidth="1"/>
    <col min="7828" max="7828" width="14.7109375" style="92" customWidth="1"/>
    <col min="7829" max="7829" width="15.7109375" style="92" customWidth="1"/>
    <col min="7830" max="7830" width="9.140625" style="92"/>
    <col min="7831" max="7831" width="10.28515625" style="92" bestFit="1" customWidth="1"/>
    <col min="7832" max="7832" width="9.140625" style="92"/>
    <col min="7833" max="7833" width="11.5703125" style="92" bestFit="1" customWidth="1"/>
    <col min="7834" max="7834" width="9.28515625" style="92" bestFit="1" customWidth="1"/>
    <col min="7835" max="7835" width="9.140625" style="92"/>
    <col min="7836" max="7836" width="11.7109375" style="92" customWidth="1"/>
    <col min="7837" max="7837" width="10.28515625" style="92" bestFit="1" customWidth="1"/>
    <col min="7838" max="7838" width="9.140625" style="92"/>
    <col min="7839" max="7839" width="11" style="92" bestFit="1" customWidth="1"/>
    <col min="7840" max="7840" width="10" style="92" bestFit="1" customWidth="1"/>
    <col min="7841" max="7841" width="10.28515625" style="92" bestFit="1" customWidth="1"/>
    <col min="7842" max="7842" width="9.28515625" style="92" bestFit="1" customWidth="1"/>
    <col min="7843" max="7843" width="11.28515625" style="92" bestFit="1" customWidth="1"/>
    <col min="7844" max="7844" width="9.42578125" style="92" bestFit="1" customWidth="1"/>
    <col min="7845" max="7845" width="8.140625" style="92" bestFit="1" customWidth="1"/>
    <col min="7846" max="7846" width="10" style="92" bestFit="1" customWidth="1"/>
    <col min="7847" max="7847" width="10.28515625" style="92" bestFit="1" customWidth="1"/>
    <col min="7848" max="7848" width="8.7109375" style="92" customWidth="1"/>
    <col min="7849" max="7849" width="10.28515625" style="92" bestFit="1" customWidth="1"/>
    <col min="7850" max="7850" width="11.28515625" style="92" bestFit="1" customWidth="1"/>
    <col min="7851" max="7851" width="10.85546875" style="92" bestFit="1" customWidth="1"/>
    <col min="7852" max="7852" width="9.85546875" style="92" bestFit="1" customWidth="1"/>
    <col min="7853" max="7854" width="9.140625" style="92"/>
    <col min="7855" max="7855" width="9.85546875" style="92" bestFit="1" customWidth="1"/>
    <col min="7856" max="7859" width="9.140625" style="92"/>
    <col min="7860" max="7860" width="13.5703125" style="92" bestFit="1" customWidth="1"/>
    <col min="7861" max="7861" width="10.28515625" style="92" bestFit="1" customWidth="1"/>
    <col min="7862" max="7976" width="9.140625" style="92"/>
    <col min="7977" max="7977" width="3.7109375" style="92" customWidth="1"/>
    <col min="7978" max="7978" width="26.5703125" style="92" customWidth="1"/>
    <col min="7979" max="7980" width="13.7109375" style="92" customWidth="1"/>
    <col min="7981" max="7981" width="11.42578125" style="92" customWidth="1"/>
    <col min="7982" max="7982" width="13.42578125" style="92" customWidth="1"/>
    <col min="7983" max="7983" width="11.140625" style="92" customWidth="1"/>
    <col min="7984" max="7984" width="10.28515625" style="92" customWidth="1"/>
    <col min="7985" max="7985" width="9.42578125" style="92" customWidth="1"/>
    <col min="7986" max="7986" width="8.140625" style="92" customWidth="1"/>
    <col min="7987" max="7987" width="11.42578125" style="92" customWidth="1"/>
    <col min="7988" max="7988" width="7.7109375" style="92" customWidth="1"/>
    <col min="7989" max="7989" width="9" style="92" customWidth="1"/>
    <col min="7990" max="7991" width="9.140625" style="92" customWidth="1"/>
    <col min="7992" max="7996" width="9.140625" style="92"/>
    <col min="7997" max="7997" width="9" style="92" customWidth="1"/>
    <col min="7998" max="7998" width="9.140625" style="92"/>
    <col min="7999" max="7999" width="15.140625" style="92" customWidth="1"/>
    <col min="8000" max="8008" width="9.140625" style="92"/>
    <col min="8009" max="8009" width="10.5703125" style="92" customWidth="1"/>
    <col min="8010" max="8014" width="9.140625" style="92"/>
    <col min="8015" max="8015" width="9" style="92" bestFit="1" customWidth="1"/>
    <col min="8016" max="8016" width="12.140625" style="92" customWidth="1"/>
    <col min="8017" max="8017" width="13.28515625" style="92" customWidth="1"/>
    <col min="8018" max="8018" width="9.140625" style="92"/>
    <col min="8019" max="8019" width="13.140625" style="92" customWidth="1"/>
    <col min="8020" max="8020" width="11.5703125" style="92" customWidth="1"/>
    <col min="8021" max="8021" width="15.42578125" style="92" bestFit="1" customWidth="1"/>
    <col min="8022" max="8039" width="9.140625" style="92"/>
    <col min="8040" max="8042" width="11.140625" style="92" customWidth="1"/>
    <col min="8043" max="8043" width="14.85546875" style="92" bestFit="1" customWidth="1"/>
    <col min="8044" max="8049" width="14.85546875" style="92" customWidth="1"/>
    <col min="8050" max="8053" width="11.140625" style="92" customWidth="1"/>
    <col min="8054" max="8054" width="11" style="92" customWidth="1"/>
    <col min="8055" max="8055" width="13.28515625" style="92" customWidth="1"/>
    <col min="8056" max="8056" width="12.42578125" style="92" customWidth="1"/>
    <col min="8057" max="8065" width="14.85546875" style="92" customWidth="1"/>
    <col min="8066" max="8066" width="13.140625" style="92" customWidth="1"/>
    <col min="8067" max="8067" width="13.7109375" style="92" customWidth="1"/>
    <col min="8068" max="8070" width="13.28515625" style="92" customWidth="1"/>
    <col min="8071" max="8071" width="15.7109375" style="92" customWidth="1"/>
    <col min="8072" max="8072" width="9.140625" style="92"/>
    <col min="8073" max="8073" width="10.28515625" style="92" bestFit="1" customWidth="1"/>
    <col min="8074" max="8074" width="11.5703125" style="92" bestFit="1" customWidth="1"/>
    <col min="8075" max="8075" width="9.140625" style="92" customWidth="1"/>
    <col min="8076" max="8076" width="10.42578125" style="92" customWidth="1"/>
    <col min="8077" max="8078" width="15.85546875" style="92" customWidth="1"/>
    <col min="8079" max="8080" width="16.85546875" style="92" customWidth="1"/>
    <col min="8081" max="8081" width="14.42578125" style="92" customWidth="1"/>
    <col min="8082" max="8083" width="14.28515625" style="92" customWidth="1"/>
    <col min="8084" max="8084" width="14.7109375" style="92" customWidth="1"/>
    <col min="8085" max="8085" width="15.7109375" style="92" customWidth="1"/>
    <col min="8086" max="8086" width="9.140625" style="92"/>
    <col min="8087" max="8087" width="10.28515625" style="92" bestFit="1" customWidth="1"/>
    <col min="8088" max="8088" width="9.140625" style="92"/>
    <col min="8089" max="8089" width="11.5703125" style="92" bestFit="1" customWidth="1"/>
    <col min="8090" max="8090" width="9.28515625" style="92" bestFit="1" customWidth="1"/>
    <col min="8091" max="8091" width="9.140625" style="92"/>
    <col min="8092" max="8092" width="11.7109375" style="92" customWidth="1"/>
    <col min="8093" max="8093" width="10.28515625" style="92" bestFit="1" customWidth="1"/>
    <col min="8094" max="8094" width="9.140625" style="92"/>
    <col min="8095" max="8095" width="11" style="92" bestFit="1" customWidth="1"/>
    <col min="8096" max="8096" width="10" style="92" bestFit="1" customWidth="1"/>
    <col min="8097" max="8097" width="10.28515625" style="92" bestFit="1" customWidth="1"/>
    <col min="8098" max="8098" width="9.28515625" style="92" bestFit="1" customWidth="1"/>
    <col min="8099" max="8099" width="11.28515625" style="92" bestFit="1" customWidth="1"/>
    <col min="8100" max="8100" width="9.42578125" style="92" bestFit="1" customWidth="1"/>
    <col min="8101" max="8101" width="8.140625" style="92" bestFit="1" customWidth="1"/>
    <col min="8102" max="8102" width="10" style="92" bestFit="1" customWidth="1"/>
    <col min="8103" max="8103" width="10.28515625" style="92" bestFit="1" customWidth="1"/>
    <col min="8104" max="8104" width="8.7109375" style="92" customWidth="1"/>
    <col min="8105" max="8105" width="10.28515625" style="92" bestFit="1" customWidth="1"/>
    <col min="8106" max="8106" width="11.28515625" style="92" bestFit="1" customWidth="1"/>
    <col min="8107" max="8107" width="10.85546875" style="92" bestFit="1" customWidth="1"/>
    <col min="8108" max="8108" width="9.85546875" style="92" bestFit="1" customWidth="1"/>
    <col min="8109" max="8110" width="9.140625" style="92"/>
    <col min="8111" max="8111" width="9.85546875" style="92" bestFit="1" customWidth="1"/>
    <col min="8112" max="8115" width="9.140625" style="92"/>
    <col min="8116" max="8116" width="13.5703125" style="92" bestFit="1" customWidth="1"/>
    <col min="8117" max="8117" width="10.28515625" style="92" bestFit="1" customWidth="1"/>
    <col min="8118" max="8232" width="9.140625" style="92"/>
    <col min="8233" max="8233" width="3.7109375" style="92" customWidth="1"/>
    <col min="8234" max="8234" width="26.5703125" style="92" customWidth="1"/>
    <col min="8235" max="8236" width="13.7109375" style="92" customWidth="1"/>
    <col min="8237" max="8237" width="11.42578125" style="92" customWidth="1"/>
    <col min="8238" max="8238" width="13.42578125" style="92" customWidth="1"/>
    <col min="8239" max="8239" width="11.140625" style="92" customWidth="1"/>
    <col min="8240" max="8240" width="10.28515625" style="92" customWidth="1"/>
    <col min="8241" max="8241" width="9.42578125" style="92" customWidth="1"/>
    <col min="8242" max="8242" width="8.140625" style="92" customWidth="1"/>
    <col min="8243" max="8243" width="11.42578125" style="92" customWidth="1"/>
    <col min="8244" max="8244" width="7.7109375" style="92" customWidth="1"/>
    <col min="8245" max="8245" width="9" style="92" customWidth="1"/>
    <col min="8246" max="8247" width="9.140625" style="92" customWidth="1"/>
    <col min="8248" max="8252" width="9.140625" style="92"/>
    <col min="8253" max="8253" width="9" style="92" customWidth="1"/>
    <col min="8254" max="8254" width="9.140625" style="92"/>
    <col min="8255" max="8255" width="15.140625" style="92" customWidth="1"/>
    <col min="8256" max="8264" width="9.140625" style="92"/>
    <col min="8265" max="8265" width="10.5703125" style="92" customWidth="1"/>
    <col min="8266" max="8270" width="9.140625" style="92"/>
    <col min="8271" max="8271" width="9" style="92" bestFit="1" customWidth="1"/>
    <col min="8272" max="8272" width="12.140625" style="92" customWidth="1"/>
    <col min="8273" max="8273" width="13.28515625" style="92" customWidth="1"/>
    <col min="8274" max="8274" width="9.140625" style="92"/>
    <col min="8275" max="8275" width="13.140625" style="92" customWidth="1"/>
    <col min="8276" max="8276" width="11.5703125" style="92" customWidth="1"/>
    <col min="8277" max="8277" width="15.42578125" style="92" bestFit="1" customWidth="1"/>
    <col min="8278" max="8295" width="9.140625" style="92"/>
    <col min="8296" max="8298" width="11.140625" style="92" customWidth="1"/>
    <col min="8299" max="8299" width="14.85546875" style="92" bestFit="1" customWidth="1"/>
    <col min="8300" max="8305" width="14.85546875" style="92" customWidth="1"/>
    <col min="8306" max="8309" width="11.140625" style="92" customWidth="1"/>
    <col min="8310" max="8310" width="11" style="92" customWidth="1"/>
    <col min="8311" max="8311" width="13.28515625" style="92" customWidth="1"/>
    <col min="8312" max="8312" width="12.42578125" style="92" customWidth="1"/>
    <col min="8313" max="8321" width="14.85546875" style="92" customWidth="1"/>
    <col min="8322" max="8322" width="13.140625" style="92" customWidth="1"/>
    <col min="8323" max="8323" width="13.7109375" style="92" customWidth="1"/>
    <col min="8324" max="8326" width="13.28515625" style="92" customWidth="1"/>
    <col min="8327" max="8327" width="15.7109375" style="92" customWidth="1"/>
    <col min="8328" max="8328" width="9.140625" style="92"/>
    <col min="8329" max="8329" width="10.28515625" style="92" bestFit="1" customWidth="1"/>
    <col min="8330" max="8330" width="11.5703125" style="92" bestFit="1" customWidth="1"/>
    <col min="8331" max="8331" width="9.140625" style="92" customWidth="1"/>
    <col min="8332" max="8332" width="10.42578125" style="92" customWidth="1"/>
    <col min="8333" max="8334" width="15.85546875" style="92" customWidth="1"/>
    <col min="8335" max="8336" width="16.85546875" style="92" customWidth="1"/>
    <col min="8337" max="8337" width="14.42578125" style="92" customWidth="1"/>
    <col min="8338" max="8339" width="14.28515625" style="92" customWidth="1"/>
    <col min="8340" max="8340" width="14.7109375" style="92" customWidth="1"/>
    <col min="8341" max="8341" width="15.7109375" style="92" customWidth="1"/>
    <col min="8342" max="8342" width="9.140625" style="92"/>
    <col min="8343" max="8343" width="10.28515625" style="92" bestFit="1" customWidth="1"/>
    <col min="8344" max="8344" width="9.140625" style="92"/>
    <col min="8345" max="8345" width="11.5703125" style="92" bestFit="1" customWidth="1"/>
    <col min="8346" max="8346" width="9.28515625" style="92" bestFit="1" customWidth="1"/>
    <col min="8347" max="8347" width="9.140625" style="92"/>
    <col min="8348" max="8348" width="11.7109375" style="92" customWidth="1"/>
    <col min="8349" max="8349" width="10.28515625" style="92" bestFit="1" customWidth="1"/>
    <col min="8350" max="8350" width="9.140625" style="92"/>
    <col min="8351" max="8351" width="11" style="92" bestFit="1" customWidth="1"/>
    <col min="8352" max="8352" width="10" style="92" bestFit="1" customWidth="1"/>
    <col min="8353" max="8353" width="10.28515625" style="92" bestFit="1" customWidth="1"/>
    <col min="8354" max="8354" width="9.28515625" style="92" bestFit="1" customWidth="1"/>
    <col min="8355" max="8355" width="11.28515625" style="92" bestFit="1" customWidth="1"/>
    <col min="8356" max="8356" width="9.42578125" style="92" bestFit="1" customWidth="1"/>
    <col min="8357" max="8357" width="8.140625" style="92" bestFit="1" customWidth="1"/>
    <col min="8358" max="8358" width="10" style="92" bestFit="1" customWidth="1"/>
    <col min="8359" max="8359" width="10.28515625" style="92" bestFit="1" customWidth="1"/>
    <col min="8360" max="8360" width="8.7109375" style="92" customWidth="1"/>
    <col min="8361" max="8361" width="10.28515625" style="92" bestFit="1" customWidth="1"/>
    <col min="8362" max="8362" width="11.28515625" style="92" bestFit="1" customWidth="1"/>
    <col min="8363" max="8363" width="10.85546875" style="92" bestFit="1" customWidth="1"/>
    <col min="8364" max="8364" width="9.85546875" style="92" bestFit="1" customWidth="1"/>
    <col min="8365" max="8366" width="9.140625" style="92"/>
    <col min="8367" max="8367" width="9.85546875" style="92" bestFit="1" customWidth="1"/>
    <col min="8368" max="8371" width="9.140625" style="92"/>
    <col min="8372" max="8372" width="13.5703125" style="92" bestFit="1" customWidth="1"/>
    <col min="8373" max="8373" width="10.28515625" style="92" bestFit="1" customWidth="1"/>
    <col min="8374" max="8488" width="9.140625" style="92"/>
    <col min="8489" max="8489" width="3.7109375" style="92" customWidth="1"/>
    <col min="8490" max="8490" width="26.5703125" style="92" customWidth="1"/>
    <col min="8491" max="8492" width="13.7109375" style="92" customWidth="1"/>
    <col min="8493" max="8493" width="11.42578125" style="92" customWidth="1"/>
    <col min="8494" max="8494" width="13.42578125" style="92" customWidth="1"/>
    <col min="8495" max="8495" width="11.140625" style="92" customWidth="1"/>
    <col min="8496" max="8496" width="10.28515625" style="92" customWidth="1"/>
    <col min="8497" max="8497" width="9.42578125" style="92" customWidth="1"/>
    <col min="8498" max="8498" width="8.140625" style="92" customWidth="1"/>
    <col min="8499" max="8499" width="11.42578125" style="92" customWidth="1"/>
    <col min="8500" max="8500" width="7.7109375" style="92" customWidth="1"/>
    <col min="8501" max="8501" width="9" style="92" customWidth="1"/>
    <col min="8502" max="8503" width="9.140625" style="92" customWidth="1"/>
    <col min="8504" max="8508" width="9.140625" style="92"/>
    <col min="8509" max="8509" width="9" style="92" customWidth="1"/>
    <col min="8510" max="8510" width="9.140625" style="92"/>
    <col min="8511" max="8511" width="15.140625" style="92" customWidth="1"/>
    <col min="8512" max="8520" width="9.140625" style="92"/>
    <col min="8521" max="8521" width="10.5703125" style="92" customWidth="1"/>
    <col min="8522" max="8526" width="9.140625" style="92"/>
    <col min="8527" max="8527" width="9" style="92" bestFit="1" customWidth="1"/>
    <col min="8528" max="8528" width="12.140625" style="92" customWidth="1"/>
    <col min="8529" max="8529" width="13.28515625" style="92" customWidth="1"/>
    <col min="8530" max="8530" width="9.140625" style="92"/>
    <col min="8531" max="8531" width="13.140625" style="92" customWidth="1"/>
    <col min="8532" max="8532" width="11.5703125" style="92" customWidth="1"/>
    <col min="8533" max="8533" width="15.42578125" style="92" bestFit="1" customWidth="1"/>
    <col min="8534" max="8551" width="9.140625" style="92"/>
    <col min="8552" max="8554" width="11.140625" style="92" customWidth="1"/>
    <col min="8555" max="8555" width="14.85546875" style="92" bestFit="1" customWidth="1"/>
    <col min="8556" max="8561" width="14.85546875" style="92" customWidth="1"/>
    <col min="8562" max="8565" width="11.140625" style="92" customWidth="1"/>
    <col min="8566" max="8566" width="11" style="92" customWidth="1"/>
    <col min="8567" max="8567" width="13.28515625" style="92" customWidth="1"/>
    <col min="8568" max="8568" width="12.42578125" style="92" customWidth="1"/>
    <col min="8569" max="8577" width="14.85546875" style="92" customWidth="1"/>
    <col min="8578" max="8578" width="13.140625" style="92" customWidth="1"/>
    <col min="8579" max="8579" width="13.7109375" style="92" customWidth="1"/>
    <col min="8580" max="8582" width="13.28515625" style="92" customWidth="1"/>
    <col min="8583" max="8583" width="15.7109375" style="92" customWidth="1"/>
    <col min="8584" max="8584" width="9.140625" style="92"/>
    <col min="8585" max="8585" width="10.28515625" style="92" bestFit="1" customWidth="1"/>
    <col min="8586" max="8586" width="11.5703125" style="92" bestFit="1" customWidth="1"/>
    <col min="8587" max="8587" width="9.140625" style="92" customWidth="1"/>
    <col min="8588" max="8588" width="10.42578125" style="92" customWidth="1"/>
    <col min="8589" max="8590" width="15.85546875" style="92" customWidth="1"/>
    <col min="8591" max="8592" width="16.85546875" style="92" customWidth="1"/>
    <col min="8593" max="8593" width="14.42578125" style="92" customWidth="1"/>
    <col min="8594" max="8595" width="14.28515625" style="92" customWidth="1"/>
    <col min="8596" max="8596" width="14.7109375" style="92" customWidth="1"/>
    <col min="8597" max="8597" width="15.7109375" style="92" customWidth="1"/>
    <col min="8598" max="8598" width="9.140625" style="92"/>
    <col min="8599" max="8599" width="10.28515625" style="92" bestFit="1" customWidth="1"/>
    <col min="8600" max="8600" width="9.140625" style="92"/>
    <col min="8601" max="8601" width="11.5703125" style="92" bestFit="1" customWidth="1"/>
    <col min="8602" max="8602" width="9.28515625" style="92" bestFit="1" customWidth="1"/>
    <col min="8603" max="8603" width="9.140625" style="92"/>
    <col min="8604" max="8604" width="11.7109375" style="92" customWidth="1"/>
    <col min="8605" max="8605" width="10.28515625" style="92" bestFit="1" customWidth="1"/>
    <col min="8606" max="8606" width="9.140625" style="92"/>
    <col min="8607" max="8607" width="11" style="92" bestFit="1" customWidth="1"/>
    <col min="8608" max="8608" width="10" style="92" bestFit="1" customWidth="1"/>
    <col min="8609" max="8609" width="10.28515625" style="92" bestFit="1" customWidth="1"/>
    <col min="8610" max="8610" width="9.28515625" style="92" bestFit="1" customWidth="1"/>
    <col min="8611" max="8611" width="11.28515625" style="92" bestFit="1" customWidth="1"/>
    <col min="8612" max="8612" width="9.42578125" style="92" bestFit="1" customWidth="1"/>
    <col min="8613" max="8613" width="8.140625" style="92" bestFit="1" customWidth="1"/>
    <col min="8614" max="8614" width="10" style="92" bestFit="1" customWidth="1"/>
    <col min="8615" max="8615" width="10.28515625" style="92" bestFit="1" customWidth="1"/>
    <col min="8616" max="8616" width="8.7109375" style="92" customWidth="1"/>
    <col min="8617" max="8617" width="10.28515625" style="92" bestFit="1" customWidth="1"/>
    <col min="8618" max="8618" width="11.28515625" style="92" bestFit="1" customWidth="1"/>
    <col min="8619" max="8619" width="10.85546875" style="92" bestFit="1" customWidth="1"/>
    <col min="8620" max="8620" width="9.85546875" style="92" bestFit="1" customWidth="1"/>
    <col min="8621" max="8622" width="9.140625" style="92"/>
    <col min="8623" max="8623" width="9.85546875" style="92" bestFit="1" customWidth="1"/>
    <col min="8624" max="8627" width="9.140625" style="92"/>
    <col min="8628" max="8628" width="13.5703125" style="92" bestFit="1" customWidth="1"/>
    <col min="8629" max="8629" width="10.28515625" style="92" bestFit="1" customWidth="1"/>
    <col min="8630" max="8744" width="9.140625" style="92"/>
    <col min="8745" max="8745" width="3.7109375" style="92" customWidth="1"/>
    <col min="8746" max="8746" width="26.5703125" style="92" customWidth="1"/>
    <col min="8747" max="8748" width="13.7109375" style="92" customWidth="1"/>
    <col min="8749" max="8749" width="11.42578125" style="92" customWidth="1"/>
    <col min="8750" max="8750" width="13.42578125" style="92" customWidth="1"/>
    <col min="8751" max="8751" width="11.140625" style="92" customWidth="1"/>
    <col min="8752" max="8752" width="10.28515625" style="92" customWidth="1"/>
    <col min="8753" max="8753" width="9.42578125" style="92" customWidth="1"/>
    <col min="8754" max="8754" width="8.140625" style="92" customWidth="1"/>
    <col min="8755" max="8755" width="11.42578125" style="92" customWidth="1"/>
    <col min="8756" max="8756" width="7.7109375" style="92" customWidth="1"/>
    <col min="8757" max="8757" width="9" style="92" customWidth="1"/>
    <col min="8758" max="8759" width="9.140625" style="92" customWidth="1"/>
    <col min="8760" max="8764" width="9.140625" style="92"/>
    <col min="8765" max="8765" width="9" style="92" customWidth="1"/>
    <col min="8766" max="8766" width="9.140625" style="92"/>
    <col min="8767" max="8767" width="15.140625" style="92" customWidth="1"/>
    <col min="8768" max="8776" width="9.140625" style="92"/>
    <col min="8777" max="8777" width="10.5703125" style="92" customWidth="1"/>
    <col min="8778" max="8782" width="9.140625" style="92"/>
    <col min="8783" max="8783" width="9" style="92" bestFit="1" customWidth="1"/>
    <col min="8784" max="8784" width="12.140625" style="92" customWidth="1"/>
    <col min="8785" max="8785" width="13.28515625" style="92" customWidth="1"/>
    <col min="8786" max="8786" width="9.140625" style="92"/>
    <col min="8787" max="8787" width="13.140625" style="92" customWidth="1"/>
    <col min="8788" max="8788" width="11.5703125" style="92" customWidth="1"/>
    <col min="8789" max="8789" width="15.42578125" style="92" bestFit="1" customWidth="1"/>
    <col min="8790" max="8807" width="9.140625" style="92"/>
    <col min="8808" max="8810" width="11.140625" style="92" customWidth="1"/>
    <col min="8811" max="8811" width="14.85546875" style="92" bestFit="1" customWidth="1"/>
    <col min="8812" max="8817" width="14.85546875" style="92" customWidth="1"/>
    <col min="8818" max="8821" width="11.140625" style="92" customWidth="1"/>
    <col min="8822" max="8822" width="11" style="92" customWidth="1"/>
    <col min="8823" max="8823" width="13.28515625" style="92" customWidth="1"/>
    <col min="8824" max="8824" width="12.42578125" style="92" customWidth="1"/>
    <col min="8825" max="8833" width="14.85546875" style="92" customWidth="1"/>
    <col min="8834" max="8834" width="13.140625" style="92" customWidth="1"/>
    <col min="8835" max="8835" width="13.7109375" style="92" customWidth="1"/>
    <col min="8836" max="8838" width="13.28515625" style="92" customWidth="1"/>
    <col min="8839" max="8839" width="15.7109375" style="92" customWidth="1"/>
    <col min="8840" max="8840" width="9.140625" style="92"/>
    <col min="8841" max="8841" width="10.28515625" style="92" bestFit="1" customWidth="1"/>
    <col min="8842" max="8842" width="11.5703125" style="92" bestFit="1" customWidth="1"/>
    <col min="8843" max="8843" width="9.140625" style="92" customWidth="1"/>
    <col min="8844" max="8844" width="10.42578125" style="92" customWidth="1"/>
    <col min="8845" max="8846" width="15.85546875" style="92" customWidth="1"/>
    <col min="8847" max="8848" width="16.85546875" style="92" customWidth="1"/>
    <col min="8849" max="8849" width="14.42578125" style="92" customWidth="1"/>
    <col min="8850" max="8851" width="14.28515625" style="92" customWidth="1"/>
    <col min="8852" max="8852" width="14.7109375" style="92" customWidth="1"/>
    <col min="8853" max="8853" width="15.7109375" style="92" customWidth="1"/>
    <col min="8854" max="8854" width="9.140625" style="92"/>
    <col min="8855" max="8855" width="10.28515625" style="92" bestFit="1" customWidth="1"/>
    <col min="8856" max="8856" width="9.140625" style="92"/>
    <col min="8857" max="8857" width="11.5703125" style="92" bestFit="1" customWidth="1"/>
    <col min="8858" max="8858" width="9.28515625" style="92" bestFit="1" customWidth="1"/>
    <col min="8859" max="8859" width="9.140625" style="92"/>
    <col min="8860" max="8860" width="11.7109375" style="92" customWidth="1"/>
    <col min="8861" max="8861" width="10.28515625" style="92" bestFit="1" customWidth="1"/>
    <col min="8862" max="8862" width="9.140625" style="92"/>
    <col min="8863" max="8863" width="11" style="92" bestFit="1" customWidth="1"/>
    <col min="8864" max="8864" width="10" style="92" bestFit="1" customWidth="1"/>
    <col min="8865" max="8865" width="10.28515625" style="92" bestFit="1" customWidth="1"/>
    <col min="8866" max="8866" width="9.28515625" style="92" bestFit="1" customWidth="1"/>
    <col min="8867" max="8867" width="11.28515625" style="92" bestFit="1" customWidth="1"/>
    <col min="8868" max="8868" width="9.42578125" style="92" bestFit="1" customWidth="1"/>
    <col min="8869" max="8869" width="8.140625" style="92" bestFit="1" customWidth="1"/>
    <col min="8870" max="8870" width="10" style="92" bestFit="1" customWidth="1"/>
    <col min="8871" max="8871" width="10.28515625" style="92" bestFit="1" customWidth="1"/>
    <col min="8872" max="8872" width="8.7109375" style="92" customWidth="1"/>
    <col min="8873" max="8873" width="10.28515625" style="92" bestFit="1" customWidth="1"/>
    <col min="8874" max="8874" width="11.28515625" style="92" bestFit="1" customWidth="1"/>
    <col min="8875" max="8875" width="10.85546875" style="92" bestFit="1" customWidth="1"/>
    <col min="8876" max="8876" width="9.85546875" style="92" bestFit="1" customWidth="1"/>
    <col min="8877" max="8878" width="9.140625" style="92"/>
    <col min="8879" max="8879" width="9.85546875" style="92" bestFit="1" customWidth="1"/>
    <col min="8880" max="8883" width="9.140625" style="92"/>
    <col min="8884" max="8884" width="13.5703125" style="92" bestFit="1" customWidth="1"/>
    <col min="8885" max="8885" width="10.28515625" style="92" bestFit="1" customWidth="1"/>
    <col min="8886" max="9000" width="9.140625" style="92"/>
    <col min="9001" max="9001" width="3.7109375" style="92" customWidth="1"/>
    <col min="9002" max="9002" width="26.5703125" style="92" customWidth="1"/>
    <col min="9003" max="9004" width="13.7109375" style="92" customWidth="1"/>
    <col min="9005" max="9005" width="11.42578125" style="92" customWidth="1"/>
    <col min="9006" max="9006" width="13.42578125" style="92" customWidth="1"/>
    <col min="9007" max="9007" width="11.140625" style="92" customWidth="1"/>
    <col min="9008" max="9008" width="10.28515625" style="92" customWidth="1"/>
    <col min="9009" max="9009" width="9.42578125" style="92" customWidth="1"/>
    <col min="9010" max="9010" width="8.140625" style="92" customWidth="1"/>
    <col min="9011" max="9011" width="11.42578125" style="92" customWidth="1"/>
    <col min="9012" max="9012" width="7.7109375" style="92" customWidth="1"/>
    <col min="9013" max="9013" width="9" style="92" customWidth="1"/>
    <col min="9014" max="9015" width="9.140625" style="92" customWidth="1"/>
    <col min="9016" max="9020" width="9.140625" style="92"/>
    <col min="9021" max="9021" width="9" style="92" customWidth="1"/>
    <col min="9022" max="9022" width="9.140625" style="92"/>
    <col min="9023" max="9023" width="15.140625" style="92" customWidth="1"/>
    <col min="9024" max="9032" width="9.140625" style="92"/>
    <col min="9033" max="9033" width="10.5703125" style="92" customWidth="1"/>
    <col min="9034" max="9038" width="9.140625" style="92"/>
    <col min="9039" max="9039" width="9" style="92" bestFit="1" customWidth="1"/>
    <col min="9040" max="9040" width="12.140625" style="92" customWidth="1"/>
    <col min="9041" max="9041" width="13.28515625" style="92" customWidth="1"/>
    <col min="9042" max="9042" width="9.140625" style="92"/>
    <col min="9043" max="9043" width="13.140625" style="92" customWidth="1"/>
    <col min="9044" max="9044" width="11.5703125" style="92" customWidth="1"/>
    <col min="9045" max="9045" width="15.42578125" style="92" bestFit="1" customWidth="1"/>
    <col min="9046" max="9063" width="9.140625" style="92"/>
    <col min="9064" max="9066" width="11.140625" style="92" customWidth="1"/>
    <col min="9067" max="9067" width="14.85546875" style="92" bestFit="1" customWidth="1"/>
    <col min="9068" max="9073" width="14.85546875" style="92" customWidth="1"/>
    <col min="9074" max="9077" width="11.140625" style="92" customWidth="1"/>
    <col min="9078" max="9078" width="11" style="92" customWidth="1"/>
    <col min="9079" max="9079" width="13.28515625" style="92" customWidth="1"/>
    <col min="9080" max="9080" width="12.42578125" style="92" customWidth="1"/>
    <col min="9081" max="9089" width="14.85546875" style="92" customWidth="1"/>
    <col min="9090" max="9090" width="13.140625" style="92" customWidth="1"/>
    <col min="9091" max="9091" width="13.7109375" style="92" customWidth="1"/>
    <col min="9092" max="9094" width="13.28515625" style="92" customWidth="1"/>
    <col min="9095" max="9095" width="15.7109375" style="92" customWidth="1"/>
    <col min="9096" max="9096" width="9.140625" style="92"/>
    <col min="9097" max="9097" width="10.28515625" style="92" bestFit="1" customWidth="1"/>
    <col min="9098" max="9098" width="11.5703125" style="92" bestFit="1" customWidth="1"/>
    <col min="9099" max="9099" width="9.140625" style="92" customWidth="1"/>
    <col min="9100" max="9100" width="10.42578125" style="92" customWidth="1"/>
    <col min="9101" max="9102" width="15.85546875" style="92" customWidth="1"/>
    <col min="9103" max="9104" width="16.85546875" style="92" customWidth="1"/>
    <col min="9105" max="9105" width="14.42578125" style="92" customWidth="1"/>
    <col min="9106" max="9107" width="14.28515625" style="92" customWidth="1"/>
    <col min="9108" max="9108" width="14.7109375" style="92" customWidth="1"/>
    <col min="9109" max="9109" width="15.7109375" style="92" customWidth="1"/>
    <col min="9110" max="9110" width="9.140625" style="92"/>
    <col min="9111" max="9111" width="10.28515625" style="92" bestFit="1" customWidth="1"/>
    <col min="9112" max="9112" width="9.140625" style="92"/>
    <col min="9113" max="9113" width="11.5703125" style="92" bestFit="1" customWidth="1"/>
    <col min="9114" max="9114" width="9.28515625" style="92" bestFit="1" customWidth="1"/>
    <col min="9115" max="9115" width="9.140625" style="92"/>
    <col min="9116" max="9116" width="11.7109375" style="92" customWidth="1"/>
    <col min="9117" max="9117" width="10.28515625" style="92" bestFit="1" customWidth="1"/>
    <col min="9118" max="9118" width="9.140625" style="92"/>
    <col min="9119" max="9119" width="11" style="92" bestFit="1" customWidth="1"/>
    <col min="9120" max="9120" width="10" style="92" bestFit="1" customWidth="1"/>
    <col min="9121" max="9121" width="10.28515625" style="92" bestFit="1" customWidth="1"/>
    <col min="9122" max="9122" width="9.28515625" style="92" bestFit="1" customWidth="1"/>
    <col min="9123" max="9123" width="11.28515625" style="92" bestFit="1" customWidth="1"/>
    <col min="9124" max="9124" width="9.42578125" style="92" bestFit="1" customWidth="1"/>
    <col min="9125" max="9125" width="8.140625" style="92" bestFit="1" customWidth="1"/>
    <col min="9126" max="9126" width="10" style="92" bestFit="1" customWidth="1"/>
    <col min="9127" max="9127" width="10.28515625" style="92" bestFit="1" customWidth="1"/>
    <col min="9128" max="9128" width="8.7109375" style="92" customWidth="1"/>
    <col min="9129" max="9129" width="10.28515625" style="92" bestFit="1" customWidth="1"/>
    <col min="9130" max="9130" width="11.28515625" style="92" bestFit="1" customWidth="1"/>
    <col min="9131" max="9131" width="10.85546875" style="92" bestFit="1" customWidth="1"/>
    <col min="9132" max="9132" width="9.85546875" style="92" bestFit="1" customWidth="1"/>
    <col min="9133" max="9134" width="9.140625" style="92"/>
    <col min="9135" max="9135" width="9.85546875" style="92" bestFit="1" customWidth="1"/>
    <col min="9136" max="9139" width="9.140625" style="92"/>
    <col min="9140" max="9140" width="13.5703125" style="92" bestFit="1" customWidth="1"/>
    <col min="9141" max="9141" width="10.28515625" style="92" bestFit="1" customWidth="1"/>
    <col min="9142" max="9256" width="9.140625" style="92"/>
    <col min="9257" max="9257" width="3.7109375" style="92" customWidth="1"/>
    <col min="9258" max="9258" width="26.5703125" style="92" customWidth="1"/>
    <col min="9259" max="9260" width="13.7109375" style="92" customWidth="1"/>
    <col min="9261" max="9261" width="11.42578125" style="92" customWidth="1"/>
    <col min="9262" max="9262" width="13.42578125" style="92" customWidth="1"/>
    <col min="9263" max="9263" width="11.140625" style="92" customWidth="1"/>
    <col min="9264" max="9264" width="10.28515625" style="92" customWidth="1"/>
    <col min="9265" max="9265" width="9.42578125" style="92" customWidth="1"/>
    <col min="9266" max="9266" width="8.140625" style="92" customWidth="1"/>
    <col min="9267" max="9267" width="11.42578125" style="92" customWidth="1"/>
    <col min="9268" max="9268" width="7.7109375" style="92" customWidth="1"/>
    <col min="9269" max="9269" width="9" style="92" customWidth="1"/>
    <col min="9270" max="9271" width="9.140625" style="92" customWidth="1"/>
    <col min="9272" max="9276" width="9.140625" style="92"/>
    <col min="9277" max="9277" width="9" style="92" customWidth="1"/>
    <col min="9278" max="9278" width="9.140625" style="92"/>
    <col min="9279" max="9279" width="15.140625" style="92" customWidth="1"/>
    <col min="9280" max="9288" width="9.140625" style="92"/>
    <col min="9289" max="9289" width="10.5703125" style="92" customWidth="1"/>
    <col min="9290" max="9294" width="9.140625" style="92"/>
    <col min="9295" max="9295" width="9" style="92" bestFit="1" customWidth="1"/>
    <col min="9296" max="9296" width="12.140625" style="92" customWidth="1"/>
    <col min="9297" max="9297" width="13.28515625" style="92" customWidth="1"/>
    <col min="9298" max="9298" width="9.140625" style="92"/>
    <col min="9299" max="9299" width="13.140625" style="92" customWidth="1"/>
    <col min="9300" max="9300" width="11.5703125" style="92" customWidth="1"/>
    <col min="9301" max="9301" width="15.42578125" style="92" bestFit="1" customWidth="1"/>
    <col min="9302" max="9319" width="9.140625" style="92"/>
    <col min="9320" max="9322" width="11.140625" style="92" customWidth="1"/>
    <col min="9323" max="9323" width="14.85546875" style="92" bestFit="1" customWidth="1"/>
    <col min="9324" max="9329" width="14.85546875" style="92" customWidth="1"/>
    <col min="9330" max="9333" width="11.140625" style="92" customWidth="1"/>
    <col min="9334" max="9334" width="11" style="92" customWidth="1"/>
    <col min="9335" max="9335" width="13.28515625" style="92" customWidth="1"/>
    <col min="9336" max="9336" width="12.42578125" style="92" customWidth="1"/>
    <col min="9337" max="9345" width="14.85546875" style="92" customWidth="1"/>
    <col min="9346" max="9346" width="13.140625" style="92" customWidth="1"/>
    <col min="9347" max="9347" width="13.7109375" style="92" customWidth="1"/>
    <col min="9348" max="9350" width="13.28515625" style="92" customWidth="1"/>
    <col min="9351" max="9351" width="15.7109375" style="92" customWidth="1"/>
    <col min="9352" max="9352" width="9.140625" style="92"/>
    <col min="9353" max="9353" width="10.28515625" style="92" bestFit="1" customWidth="1"/>
    <col min="9354" max="9354" width="11.5703125" style="92" bestFit="1" customWidth="1"/>
    <col min="9355" max="9355" width="9.140625" style="92" customWidth="1"/>
    <col min="9356" max="9356" width="10.42578125" style="92" customWidth="1"/>
    <col min="9357" max="9358" width="15.85546875" style="92" customWidth="1"/>
    <col min="9359" max="9360" width="16.85546875" style="92" customWidth="1"/>
    <col min="9361" max="9361" width="14.42578125" style="92" customWidth="1"/>
    <col min="9362" max="9363" width="14.28515625" style="92" customWidth="1"/>
    <col min="9364" max="9364" width="14.7109375" style="92" customWidth="1"/>
    <col min="9365" max="9365" width="15.7109375" style="92" customWidth="1"/>
    <col min="9366" max="9366" width="9.140625" style="92"/>
    <col min="9367" max="9367" width="10.28515625" style="92" bestFit="1" customWidth="1"/>
    <col min="9368" max="9368" width="9.140625" style="92"/>
    <col min="9369" max="9369" width="11.5703125" style="92" bestFit="1" customWidth="1"/>
    <col min="9370" max="9370" width="9.28515625" style="92" bestFit="1" customWidth="1"/>
    <col min="9371" max="9371" width="9.140625" style="92"/>
    <col min="9372" max="9372" width="11.7109375" style="92" customWidth="1"/>
    <col min="9373" max="9373" width="10.28515625" style="92" bestFit="1" customWidth="1"/>
    <col min="9374" max="9374" width="9.140625" style="92"/>
    <col min="9375" max="9375" width="11" style="92" bestFit="1" customWidth="1"/>
    <col min="9376" max="9376" width="10" style="92" bestFit="1" customWidth="1"/>
    <col min="9377" max="9377" width="10.28515625" style="92" bestFit="1" customWidth="1"/>
    <col min="9378" max="9378" width="9.28515625" style="92" bestFit="1" customWidth="1"/>
    <col min="9379" max="9379" width="11.28515625" style="92" bestFit="1" customWidth="1"/>
    <col min="9380" max="9380" width="9.42578125" style="92" bestFit="1" customWidth="1"/>
    <col min="9381" max="9381" width="8.140625" style="92" bestFit="1" customWidth="1"/>
    <col min="9382" max="9382" width="10" style="92" bestFit="1" customWidth="1"/>
    <col min="9383" max="9383" width="10.28515625" style="92" bestFit="1" customWidth="1"/>
    <col min="9384" max="9384" width="8.7109375" style="92" customWidth="1"/>
    <col min="9385" max="9385" width="10.28515625" style="92" bestFit="1" customWidth="1"/>
    <col min="9386" max="9386" width="11.28515625" style="92" bestFit="1" customWidth="1"/>
    <col min="9387" max="9387" width="10.85546875" style="92" bestFit="1" customWidth="1"/>
    <col min="9388" max="9388" width="9.85546875" style="92" bestFit="1" customWidth="1"/>
    <col min="9389" max="9390" width="9.140625" style="92"/>
    <col min="9391" max="9391" width="9.85546875" style="92" bestFit="1" customWidth="1"/>
    <col min="9392" max="9395" width="9.140625" style="92"/>
    <col min="9396" max="9396" width="13.5703125" style="92" bestFit="1" customWidth="1"/>
    <col min="9397" max="9397" width="10.28515625" style="92" bestFit="1" customWidth="1"/>
    <col min="9398" max="9512" width="9.140625" style="92"/>
    <col min="9513" max="9513" width="3.7109375" style="92" customWidth="1"/>
    <col min="9514" max="9514" width="26.5703125" style="92" customWidth="1"/>
    <col min="9515" max="9516" width="13.7109375" style="92" customWidth="1"/>
    <col min="9517" max="9517" width="11.42578125" style="92" customWidth="1"/>
    <col min="9518" max="9518" width="13.42578125" style="92" customWidth="1"/>
    <col min="9519" max="9519" width="11.140625" style="92" customWidth="1"/>
    <col min="9520" max="9520" width="10.28515625" style="92" customWidth="1"/>
    <col min="9521" max="9521" width="9.42578125" style="92" customWidth="1"/>
    <col min="9522" max="9522" width="8.140625" style="92" customWidth="1"/>
    <col min="9523" max="9523" width="11.42578125" style="92" customWidth="1"/>
    <col min="9524" max="9524" width="7.7109375" style="92" customWidth="1"/>
    <col min="9525" max="9525" width="9" style="92" customWidth="1"/>
    <col min="9526" max="9527" width="9.140625" style="92" customWidth="1"/>
    <col min="9528" max="9532" width="9.140625" style="92"/>
    <col min="9533" max="9533" width="9" style="92" customWidth="1"/>
    <col min="9534" max="9534" width="9.140625" style="92"/>
    <col min="9535" max="9535" width="15.140625" style="92" customWidth="1"/>
    <col min="9536" max="9544" width="9.140625" style="92"/>
    <col min="9545" max="9545" width="10.5703125" style="92" customWidth="1"/>
    <col min="9546" max="9550" width="9.140625" style="92"/>
    <col min="9551" max="9551" width="9" style="92" bestFit="1" customWidth="1"/>
    <col min="9552" max="9552" width="12.140625" style="92" customWidth="1"/>
    <col min="9553" max="9553" width="13.28515625" style="92" customWidth="1"/>
    <col min="9554" max="9554" width="9.140625" style="92"/>
    <col min="9555" max="9555" width="13.140625" style="92" customWidth="1"/>
    <col min="9556" max="9556" width="11.5703125" style="92" customWidth="1"/>
    <col min="9557" max="9557" width="15.42578125" style="92" bestFit="1" customWidth="1"/>
    <col min="9558" max="9575" width="9.140625" style="92"/>
    <col min="9576" max="9578" width="11.140625" style="92" customWidth="1"/>
    <col min="9579" max="9579" width="14.85546875" style="92" bestFit="1" customWidth="1"/>
    <col min="9580" max="9585" width="14.85546875" style="92" customWidth="1"/>
    <col min="9586" max="9589" width="11.140625" style="92" customWidth="1"/>
    <col min="9590" max="9590" width="11" style="92" customWidth="1"/>
    <col min="9591" max="9591" width="13.28515625" style="92" customWidth="1"/>
    <col min="9592" max="9592" width="12.42578125" style="92" customWidth="1"/>
    <col min="9593" max="9601" width="14.85546875" style="92" customWidth="1"/>
    <col min="9602" max="9602" width="13.140625" style="92" customWidth="1"/>
    <col min="9603" max="9603" width="13.7109375" style="92" customWidth="1"/>
    <col min="9604" max="9606" width="13.28515625" style="92" customWidth="1"/>
    <col min="9607" max="9607" width="15.7109375" style="92" customWidth="1"/>
    <col min="9608" max="9608" width="9.140625" style="92"/>
    <col min="9609" max="9609" width="10.28515625" style="92" bestFit="1" customWidth="1"/>
    <col min="9610" max="9610" width="11.5703125" style="92" bestFit="1" customWidth="1"/>
    <col min="9611" max="9611" width="9.140625" style="92" customWidth="1"/>
    <col min="9612" max="9612" width="10.42578125" style="92" customWidth="1"/>
    <col min="9613" max="9614" width="15.85546875" style="92" customWidth="1"/>
    <col min="9615" max="9616" width="16.85546875" style="92" customWidth="1"/>
    <col min="9617" max="9617" width="14.42578125" style="92" customWidth="1"/>
    <col min="9618" max="9619" width="14.28515625" style="92" customWidth="1"/>
    <col min="9620" max="9620" width="14.7109375" style="92" customWidth="1"/>
    <col min="9621" max="9621" width="15.7109375" style="92" customWidth="1"/>
    <col min="9622" max="9622" width="9.140625" style="92"/>
    <col min="9623" max="9623" width="10.28515625" style="92" bestFit="1" customWidth="1"/>
    <col min="9624" max="9624" width="9.140625" style="92"/>
    <col min="9625" max="9625" width="11.5703125" style="92" bestFit="1" customWidth="1"/>
    <col min="9626" max="9626" width="9.28515625" style="92" bestFit="1" customWidth="1"/>
    <col min="9627" max="9627" width="9.140625" style="92"/>
    <col min="9628" max="9628" width="11.7109375" style="92" customWidth="1"/>
    <col min="9629" max="9629" width="10.28515625" style="92" bestFit="1" customWidth="1"/>
    <col min="9630" max="9630" width="9.140625" style="92"/>
    <col min="9631" max="9631" width="11" style="92" bestFit="1" customWidth="1"/>
    <col min="9632" max="9632" width="10" style="92" bestFit="1" customWidth="1"/>
    <col min="9633" max="9633" width="10.28515625" style="92" bestFit="1" customWidth="1"/>
    <col min="9634" max="9634" width="9.28515625" style="92" bestFit="1" customWidth="1"/>
    <col min="9635" max="9635" width="11.28515625" style="92" bestFit="1" customWidth="1"/>
    <col min="9636" max="9636" width="9.42578125" style="92" bestFit="1" customWidth="1"/>
    <col min="9637" max="9637" width="8.140625" style="92" bestFit="1" customWidth="1"/>
    <col min="9638" max="9638" width="10" style="92" bestFit="1" customWidth="1"/>
    <col min="9639" max="9639" width="10.28515625" style="92" bestFit="1" customWidth="1"/>
    <col min="9640" max="9640" width="8.7109375" style="92" customWidth="1"/>
    <col min="9641" max="9641" width="10.28515625" style="92" bestFit="1" customWidth="1"/>
    <col min="9642" max="9642" width="11.28515625" style="92" bestFit="1" customWidth="1"/>
    <col min="9643" max="9643" width="10.85546875" style="92" bestFit="1" customWidth="1"/>
    <col min="9644" max="9644" width="9.85546875" style="92" bestFit="1" customWidth="1"/>
    <col min="9645" max="9646" width="9.140625" style="92"/>
    <col min="9647" max="9647" width="9.85546875" style="92" bestFit="1" customWidth="1"/>
    <col min="9648" max="9651" width="9.140625" style="92"/>
    <col min="9652" max="9652" width="13.5703125" style="92" bestFit="1" customWidth="1"/>
    <col min="9653" max="9653" width="10.28515625" style="92" bestFit="1" customWidth="1"/>
    <col min="9654" max="9768" width="9.140625" style="92"/>
    <col min="9769" max="9769" width="3.7109375" style="92" customWidth="1"/>
    <col min="9770" max="9770" width="26.5703125" style="92" customWidth="1"/>
    <col min="9771" max="9772" width="13.7109375" style="92" customWidth="1"/>
    <col min="9773" max="9773" width="11.42578125" style="92" customWidth="1"/>
    <col min="9774" max="9774" width="13.42578125" style="92" customWidth="1"/>
    <col min="9775" max="9775" width="11.140625" style="92" customWidth="1"/>
    <col min="9776" max="9776" width="10.28515625" style="92" customWidth="1"/>
    <col min="9777" max="9777" width="9.42578125" style="92" customWidth="1"/>
    <col min="9778" max="9778" width="8.140625" style="92" customWidth="1"/>
    <col min="9779" max="9779" width="11.42578125" style="92" customWidth="1"/>
    <col min="9780" max="9780" width="7.7109375" style="92" customWidth="1"/>
    <col min="9781" max="9781" width="9" style="92" customWidth="1"/>
    <col min="9782" max="9783" width="9.140625" style="92" customWidth="1"/>
    <col min="9784" max="9788" width="9.140625" style="92"/>
    <col min="9789" max="9789" width="9" style="92" customWidth="1"/>
    <col min="9790" max="9790" width="9.140625" style="92"/>
    <col min="9791" max="9791" width="15.140625" style="92" customWidth="1"/>
    <col min="9792" max="9800" width="9.140625" style="92"/>
    <col min="9801" max="9801" width="10.5703125" style="92" customWidth="1"/>
    <col min="9802" max="9806" width="9.140625" style="92"/>
    <col min="9807" max="9807" width="9" style="92" bestFit="1" customWidth="1"/>
    <col min="9808" max="9808" width="12.140625" style="92" customWidth="1"/>
    <col min="9809" max="9809" width="13.28515625" style="92" customWidth="1"/>
    <col min="9810" max="9810" width="9.140625" style="92"/>
    <col min="9811" max="9811" width="13.140625" style="92" customWidth="1"/>
    <col min="9812" max="9812" width="11.5703125" style="92" customWidth="1"/>
    <col min="9813" max="9813" width="15.42578125" style="92" bestFit="1" customWidth="1"/>
    <col min="9814" max="9831" width="9.140625" style="92"/>
    <col min="9832" max="9834" width="11.140625" style="92" customWidth="1"/>
    <col min="9835" max="9835" width="14.85546875" style="92" bestFit="1" customWidth="1"/>
    <col min="9836" max="9841" width="14.85546875" style="92" customWidth="1"/>
    <col min="9842" max="9845" width="11.140625" style="92" customWidth="1"/>
    <col min="9846" max="9846" width="11" style="92" customWidth="1"/>
    <col min="9847" max="9847" width="13.28515625" style="92" customWidth="1"/>
    <col min="9848" max="9848" width="12.42578125" style="92" customWidth="1"/>
    <col min="9849" max="9857" width="14.85546875" style="92" customWidth="1"/>
    <col min="9858" max="9858" width="13.140625" style="92" customWidth="1"/>
    <col min="9859" max="9859" width="13.7109375" style="92" customWidth="1"/>
    <col min="9860" max="9862" width="13.28515625" style="92" customWidth="1"/>
    <col min="9863" max="9863" width="15.7109375" style="92" customWidth="1"/>
    <col min="9864" max="9864" width="9.140625" style="92"/>
    <col min="9865" max="9865" width="10.28515625" style="92" bestFit="1" customWidth="1"/>
    <col min="9866" max="9866" width="11.5703125" style="92" bestFit="1" customWidth="1"/>
    <col min="9867" max="9867" width="9.140625" style="92" customWidth="1"/>
    <col min="9868" max="9868" width="10.42578125" style="92" customWidth="1"/>
    <col min="9869" max="9870" width="15.85546875" style="92" customWidth="1"/>
    <col min="9871" max="9872" width="16.85546875" style="92" customWidth="1"/>
    <col min="9873" max="9873" width="14.42578125" style="92" customWidth="1"/>
    <col min="9874" max="9875" width="14.28515625" style="92" customWidth="1"/>
    <col min="9876" max="9876" width="14.7109375" style="92" customWidth="1"/>
    <col min="9877" max="9877" width="15.7109375" style="92" customWidth="1"/>
    <col min="9878" max="9878" width="9.140625" style="92"/>
    <col min="9879" max="9879" width="10.28515625" style="92" bestFit="1" customWidth="1"/>
    <col min="9880" max="9880" width="9.140625" style="92"/>
    <col min="9881" max="9881" width="11.5703125" style="92" bestFit="1" customWidth="1"/>
    <col min="9882" max="9882" width="9.28515625" style="92" bestFit="1" customWidth="1"/>
    <col min="9883" max="9883" width="9.140625" style="92"/>
    <col min="9884" max="9884" width="11.7109375" style="92" customWidth="1"/>
    <col min="9885" max="9885" width="10.28515625" style="92" bestFit="1" customWidth="1"/>
    <col min="9886" max="9886" width="9.140625" style="92"/>
    <col min="9887" max="9887" width="11" style="92" bestFit="1" customWidth="1"/>
    <col min="9888" max="9888" width="10" style="92" bestFit="1" customWidth="1"/>
    <col min="9889" max="9889" width="10.28515625" style="92" bestFit="1" customWidth="1"/>
    <col min="9890" max="9890" width="9.28515625" style="92" bestFit="1" customWidth="1"/>
    <col min="9891" max="9891" width="11.28515625" style="92" bestFit="1" customWidth="1"/>
    <col min="9892" max="9892" width="9.42578125" style="92" bestFit="1" customWidth="1"/>
    <col min="9893" max="9893" width="8.140625" style="92" bestFit="1" customWidth="1"/>
    <col min="9894" max="9894" width="10" style="92" bestFit="1" customWidth="1"/>
    <col min="9895" max="9895" width="10.28515625" style="92" bestFit="1" customWidth="1"/>
    <col min="9896" max="9896" width="8.7109375" style="92" customWidth="1"/>
    <col min="9897" max="9897" width="10.28515625" style="92" bestFit="1" customWidth="1"/>
    <col min="9898" max="9898" width="11.28515625" style="92" bestFit="1" customWidth="1"/>
    <col min="9899" max="9899" width="10.85546875" style="92" bestFit="1" customWidth="1"/>
    <col min="9900" max="9900" width="9.85546875" style="92" bestFit="1" customWidth="1"/>
    <col min="9901" max="9902" width="9.140625" style="92"/>
    <col min="9903" max="9903" width="9.85546875" style="92" bestFit="1" customWidth="1"/>
    <col min="9904" max="9907" width="9.140625" style="92"/>
    <col min="9908" max="9908" width="13.5703125" style="92" bestFit="1" customWidth="1"/>
    <col min="9909" max="9909" width="10.28515625" style="92" bestFit="1" customWidth="1"/>
    <col min="9910" max="10024" width="9.140625" style="92"/>
    <col min="10025" max="10025" width="3.7109375" style="92" customWidth="1"/>
    <col min="10026" max="10026" width="26.5703125" style="92" customWidth="1"/>
    <col min="10027" max="10028" width="13.7109375" style="92" customWidth="1"/>
    <col min="10029" max="10029" width="11.42578125" style="92" customWidth="1"/>
    <col min="10030" max="10030" width="13.42578125" style="92" customWidth="1"/>
    <col min="10031" max="10031" width="11.140625" style="92" customWidth="1"/>
    <col min="10032" max="10032" width="10.28515625" style="92" customWidth="1"/>
    <col min="10033" max="10033" width="9.42578125" style="92" customWidth="1"/>
    <col min="10034" max="10034" width="8.140625" style="92" customWidth="1"/>
    <col min="10035" max="10035" width="11.42578125" style="92" customWidth="1"/>
    <col min="10036" max="10036" width="7.7109375" style="92" customWidth="1"/>
    <col min="10037" max="10037" width="9" style="92" customWidth="1"/>
    <col min="10038" max="10039" width="9.140625" style="92" customWidth="1"/>
    <col min="10040" max="10044" width="9.140625" style="92"/>
    <col min="10045" max="10045" width="9" style="92" customWidth="1"/>
    <col min="10046" max="10046" width="9.140625" style="92"/>
    <col min="10047" max="10047" width="15.140625" style="92" customWidth="1"/>
    <col min="10048" max="10056" width="9.140625" style="92"/>
    <col min="10057" max="10057" width="10.5703125" style="92" customWidth="1"/>
    <col min="10058" max="10062" width="9.140625" style="92"/>
    <col min="10063" max="10063" width="9" style="92" bestFit="1" customWidth="1"/>
    <col min="10064" max="10064" width="12.140625" style="92" customWidth="1"/>
    <col min="10065" max="10065" width="13.28515625" style="92" customWidth="1"/>
    <col min="10066" max="10066" width="9.140625" style="92"/>
    <col min="10067" max="10067" width="13.140625" style="92" customWidth="1"/>
    <col min="10068" max="10068" width="11.5703125" style="92" customWidth="1"/>
    <col min="10069" max="10069" width="15.42578125" style="92" bestFit="1" customWidth="1"/>
    <col min="10070" max="10087" width="9.140625" style="92"/>
    <col min="10088" max="10090" width="11.140625" style="92" customWidth="1"/>
    <col min="10091" max="10091" width="14.85546875" style="92" bestFit="1" customWidth="1"/>
    <col min="10092" max="10097" width="14.85546875" style="92" customWidth="1"/>
    <col min="10098" max="10101" width="11.140625" style="92" customWidth="1"/>
    <col min="10102" max="10102" width="11" style="92" customWidth="1"/>
    <col min="10103" max="10103" width="13.28515625" style="92" customWidth="1"/>
    <col min="10104" max="10104" width="12.42578125" style="92" customWidth="1"/>
    <col min="10105" max="10113" width="14.85546875" style="92" customWidth="1"/>
    <col min="10114" max="10114" width="13.140625" style="92" customWidth="1"/>
    <col min="10115" max="10115" width="13.7109375" style="92" customWidth="1"/>
    <col min="10116" max="10118" width="13.28515625" style="92" customWidth="1"/>
    <col min="10119" max="10119" width="15.7109375" style="92" customWidth="1"/>
    <col min="10120" max="10120" width="9.140625" style="92"/>
    <col min="10121" max="10121" width="10.28515625" style="92" bestFit="1" customWidth="1"/>
    <col min="10122" max="10122" width="11.5703125" style="92" bestFit="1" customWidth="1"/>
    <col min="10123" max="10123" width="9.140625" style="92" customWidth="1"/>
    <col min="10124" max="10124" width="10.42578125" style="92" customWidth="1"/>
    <col min="10125" max="10126" width="15.85546875" style="92" customWidth="1"/>
    <col min="10127" max="10128" width="16.85546875" style="92" customWidth="1"/>
    <col min="10129" max="10129" width="14.42578125" style="92" customWidth="1"/>
    <col min="10130" max="10131" width="14.28515625" style="92" customWidth="1"/>
    <col min="10132" max="10132" width="14.7109375" style="92" customWidth="1"/>
    <col min="10133" max="10133" width="15.7109375" style="92" customWidth="1"/>
    <col min="10134" max="10134" width="9.140625" style="92"/>
    <col min="10135" max="10135" width="10.28515625" style="92" bestFit="1" customWidth="1"/>
    <col min="10136" max="10136" width="9.140625" style="92"/>
    <col min="10137" max="10137" width="11.5703125" style="92" bestFit="1" customWidth="1"/>
    <col min="10138" max="10138" width="9.28515625" style="92" bestFit="1" customWidth="1"/>
    <col min="10139" max="10139" width="9.140625" style="92"/>
    <col min="10140" max="10140" width="11.7109375" style="92" customWidth="1"/>
    <col min="10141" max="10141" width="10.28515625" style="92" bestFit="1" customWidth="1"/>
    <col min="10142" max="10142" width="9.140625" style="92"/>
    <col min="10143" max="10143" width="11" style="92" bestFit="1" customWidth="1"/>
    <col min="10144" max="10144" width="10" style="92" bestFit="1" customWidth="1"/>
    <col min="10145" max="10145" width="10.28515625" style="92" bestFit="1" customWidth="1"/>
    <col min="10146" max="10146" width="9.28515625" style="92" bestFit="1" customWidth="1"/>
    <col min="10147" max="10147" width="11.28515625" style="92" bestFit="1" customWidth="1"/>
    <col min="10148" max="10148" width="9.42578125" style="92" bestFit="1" customWidth="1"/>
    <col min="10149" max="10149" width="8.140625" style="92" bestFit="1" customWidth="1"/>
    <col min="10150" max="10150" width="10" style="92" bestFit="1" customWidth="1"/>
    <col min="10151" max="10151" width="10.28515625" style="92" bestFit="1" customWidth="1"/>
    <col min="10152" max="10152" width="8.7109375" style="92" customWidth="1"/>
    <col min="10153" max="10153" width="10.28515625" style="92" bestFit="1" customWidth="1"/>
    <col min="10154" max="10154" width="11.28515625" style="92" bestFit="1" customWidth="1"/>
    <col min="10155" max="10155" width="10.85546875" style="92" bestFit="1" customWidth="1"/>
    <col min="10156" max="10156" width="9.85546875" style="92" bestFit="1" customWidth="1"/>
    <col min="10157" max="10158" width="9.140625" style="92"/>
    <col min="10159" max="10159" width="9.85546875" style="92" bestFit="1" customWidth="1"/>
    <col min="10160" max="10163" width="9.140625" style="92"/>
    <col min="10164" max="10164" width="13.5703125" style="92" bestFit="1" customWidth="1"/>
    <col min="10165" max="10165" width="10.28515625" style="92" bestFit="1" customWidth="1"/>
    <col min="10166" max="10280" width="9.140625" style="92"/>
    <col min="10281" max="10281" width="3.7109375" style="92" customWidth="1"/>
    <col min="10282" max="10282" width="26.5703125" style="92" customWidth="1"/>
    <col min="10283" max="10284" width="13.7109375" style="92" customWidth="1"/>
    <col min="10285" max="10285" width="11.42578125" style="92" customWidth="1"/>
    <col min="10286" max="10286" width="13.42578125" style="92" customWidth="1"/>
    <col min="10287" max="10287" width="11.140625" style="92" customWidth="1"/>
    <col min="10288" max="10288" width="10.28515625" style="92" customWidth="1"/>
    <col min="10289" max="10289" width="9.42578125" style="92" customWidth="1"/>
    <col min="10290" max="10290" width="8.140625" style="92" customWidth="1"/>
    <col min="10291" max="10291" width="11.42578125" style="92" customWidth="1"/>
    <col min="10292" max="10292" width="7.7109375" style="92" customWidth="1"/>
    <col min="10293" max="10293" width="9" style="92" customWidth="1"/>
    <col min="10294" max="10295" width="9.140625" style="92" customWidth="1"/>
    <col min="10296" max="10300" width="9.140625" style="92"/>
    <col min="10301" max="10301" width="9" style="92" customWidth="1"/>
    <col min="10302" max="10302" width="9.140625" style="92"/>
    <col min="10303" max="10303" width="15.140625" style="92" customWidth="1"/>
    <col min="10304" max="10312" width="9.140625" style="92"/>
    <col min="10313" max="10313" width="10.5703125" style="92" customWidth="1"/>
    <col min="10314" max="10318" width="9.140625" style="92"/>
    <col min="10319" max="10319" width="9" style="92" bestFit="1" customWidth="1"/>
    <col min="10320" max="10320" width="12.140625" style="92" customWidth="1"/>
    <col min="10321" max="10321" width="13.28515625" style="92" customWidth="1"/>
    <col min="10322" max="10322" width="9.140625" style="92"/>
    <col min="10323" max="10323" width="13.140625" style="92" customWidth="1"/>
    <col min="10324" max="10324" width="11.5703125" style="92" customWidth="1"/>
    <col min="10325" max="10325" width="15.42578125" style="92" bestFit="1" customWidth="1"/>
    <col min="10326" max="10343" width="9.140625" style="92"/>
    <col min="10344" max="10346" width="11.140625" style="92" customWidth="1"/>
    <col min="10347" max="10347" width="14.85546875" style="92" bestFit="1" customWidth="1"/>
    <col min="10348" max="10353" width="14.85546875" style="92" customWidth="1"/>
    <col min="10354" max="10357" width="11.140625" style="92" customWidth="1"/>
    <col min="10358" max="10358" width="11" style="92" customWidth="1"/>
    <col min="10359" max="10359" width="13.28515625" style="92" customWidth="1"/>
    <col min="10360" max="10360" width="12.42578125" style="92" customWidth="1"/>
    <col min="10361" max="10369" width="14.85546875" style="92" customWidth="1"/>
    <col min="10370" max="10370" width="13.140625" style="92" customWidth="1"/>
    <col min="10371" max="10371" width="13.7109375" style="92" customWidth="1"/>
    <col min="10372" max="10374" width="13.28515625" style="92" customWidth="1"/>
    <col min="10375" max="10375" width="15.7109375" style="92" customWidth="1"/>
    <col min="10376" max="10376" width="9.140625" style="92"/>
    <col min="10377" max="10377" width="10.28515625" style="92" bestFit="1" customWidth="1"/>
    <col min="10378" max="10378" width="11.5703125" style="92" bestFit="1" customWidth="1"/>
    <col min="10379" max="10379" width="9.140625" style="92" customWidth="1"/>
    <col min="10380" max="10380" width="10.42578125" style="92" customWidth="1"/>
    <col min="10381" max="10382" width="15.85546875" style="92" customWidth="1"/>
    <col min="10383" max="10384" width="16.85546875" style="92" customWidth="1"/>
    <col min="10385" max="10385" width="14.42578125" style="92" customWidth="1"/>
    <col min="10386" max="10387" width="14.28515625" style="92" customWidth="1"/>
    <col min="10388" max="10388" width="14.7109375" style="92" customWidth="1"/>
    <col min="10389" max="10389" width="15.7109375" style="92" customWidth="1"/>
    <col min="10390" max="10390" width="9.140625" style="92"/>
    <col min="10391" max="10391" width="10.28515625" style="92" bestFit="1" customWidth="1"/>
    <col min="10392" max="10392" width="9.140625" style="92"/>
    <col min="10393" max="10393" width="11.5703125" style="92" bestFit="1" customWidth="1"/>
    <col min="10394" max="10394" width="9.28515625" style="92" bestFit="1" customWidth="1"/>
    <col min="10395" max="10395" width="9.140625" style="92"/>
    <col min="10396" max="10396" width="11.7109375" style="92" customWidth="1"/>
    <col min="10397" max="10397" width="10.28515625" style="92" bestFit="1" customWidth="1"/>
    <col min="10398" max="10398" width="9.140625" style="92"/>
    <col min="10399" max="10399" width="11" style="92" bestFit="1" customWidth="1"/>
    <col min="10400" max="10400" width="10" style="92" bestFit="1" customWidth="1"/>
    <col min="10401" max="10401" width="10.28515625" style="92" bestFit="1" customWidth="1"/>
    <col min="10402" max="10402" width="9.28515625" style="92" bestFit="1" customWidth="1"/>
    <col min="10403" max="10403" width="11.28515625" style="92" bestFit="1" customWidth="1"/>
    <col min="10404" max="10404" width="9.42578125" style="92" bestFit="1" customWidth="1"/>
    <col min="10405" max="10405" width="8.140625" style="92" bestFit="1" customWidth="1"/>
    <col min="10406" max="10406" width="10" style="92" bestFit="1" customWidth="1"/>
    <col min="10407" max="10407" width="10.28515625" style="92" bestFit="1" customWidth="1"/>
    <col min="10408" max="10408" width="8.7109375" style="92" customWidth="1"/>
    <col min="10409" max="10409" width="10.28515625" style="92" bestFit="1" customWidth="1"/>
    <col min="10410" max="10410" width="11.28515625" style="92" bestFit="1" customWidth="1"/>
    <col min="10411" max="10411" width="10.85546875" style="92" bestFit="1" customWidth="1"/>
    <col min="10412" max="10412" width="9.85546875" style="92" bestFit="1" customWidth="1"/>
    <col min="10413" max="10414" width="9.140625" style="92"/>
    <col min="10415" max="10415" width="9.85546875" style="92" bestFit="1" customWidth="1"/>
    <col min="10416" max="10419" width="9.140625" style="92"/>
    <col min="10420" max="10420" width="13.5703125" style="92" bestFit="1" customWidth="1"/>
    <col min="10421" max="10421" width="10.28515625" style="92" bestFit="1" customWidth="1"/>
    <col min="10422" max="10536" width="9.140625" style="92"/>
    <col min="10537" max="10537" width="3.7109375" style="92" customWidth="1"/>
    <col min="10538" max="10538" width="26.5703125" style="92" customWidth="1"/>
    <col min="10539" max="10540" width="13.7109375" style="92" customWidth="1"/>
    <col min="10541" max="10541" width="11.42578125" style="92" customWidth="1"/>
    <col min="10542" max="10542" width="13.42578125" style="92" customWidth="1"/>
    <col min="10543" max="10543" width="11.140625" style="92" customWidth="1"/>
    <col min="10544" max="10544" width="10.28515625" style="92" customWidth="1"/>
    <col min="10545" max="10545" width="9.42578125" style="92" customWidth="1"/>
    <col min="10546" max="10546" width="8.140625" style="92" customWidth="1"/>
    <col min="10547" max="10547" width="11.42578125" style="92" customWidth="1"/>
    <col min="10548" max="10548" width="7.7109375" style="92" customWidth="1"/>
    <col min="10549" max="10549" width="9" style="92" customWidth="1"/>
    <col min="10550" max="10551" width="9.140625" style="92" customWidth="1"/>
    <col min="10552" max="10556" width="9.140625" style="92"/>
    <col min="10557" max="10557" width="9" style="92" customWidth="1"/>
    <col min="10558" max="10558" width="9.140625" style="92"/>
    <col min="10559" max="10559" width="15.140625" style="92" customWidth="1"/>
    <col min="10560" max="10568" width="9.140625" style="92"/>
    <col min="10569" max="10569" width="10.5703125" style="92" customWidth="1"/>
    <col min="10570" max="10574" width="9.140625" style="92"/>
    <col min="10575" max="10575" width="9" style="92" bestFit="1" customWidth="1"/>
    <col min="10576" max="10576" width="12.140625" style="92" customWidth="1"/>
    <col min="10577" max="10577" width="13.28515625" style="92" customWidth="1"/>
    <col min="10578" max="10578" width="9.140625" style="92"/>
    <col min="10579" max="10579" width="13.140625" style="92" customWidth="1"/>
    <col min="10580" max="10580" width="11.5703125" style="92" customWidth="1"/>
    <col min="10581" max="10581" width="15.42578125" style="92" bestFit="1" customWidth="1"/>
    <col min="10582" max="10599" width="9.140625" style="92"/>
    <col min="10600" max="10602" width="11.140625" style="92" customWidth="1"/>
    <col min="10603" max="10603" width="14.85546875" style="92" bestFit="1" customWidth="1"/>
    <col min="10604" max="10609" width="14.85546875" style="92" customWidth="1"/>
    <col min="10610" max="10613" width="11.140625" style="92" customWidth="1"/>
    <col min="10614" max="10614" width="11" style="92" customWidth="1"/>
    <col min="10615" max="10615" width="13.28515625" style="92" customWidth="1"/>
    <col min="10616" max="10616" width="12.42578125" style="92" customWidth="1"/>
    <col min="10617" max="10625" width="14.85546875" style="92" customWidth="1"/>
    <col min="10626" max="10626" width="13.140625" style="92" customWidth="1"/>
    <col min="10627" max="10627" width="13.7109375" style="92" customWidth="1"/>
    <col min="10628" max="10630" width="13.28515625" style="92" customWidth="1"/>
    <col min="10631" max="10631" width="15.7109375" style="92" customWidth="1"/>
    <col min="10632" max="10632" width="9.140625" style="92"/>
    <col min="10633" max="10633" width="10.28515625" style="92" bestFit="1" customWidth="1"/>
    <col min="10634" max="10634" width="11.5703125" style="92" bestFit="1" customWidth="1"/>
    <col min="10635" max="10635" width="9.140625" style="92" customWidth="1"/>
    <col min="10636" max="10636" width="10.42578125" style="92" customWidth="1"/>
    <col min="10637" max="10638" width="15.85546875" style="92" customWidth="1"/>
    <col min="10639" max="10640" width="16.85546875" style="92" customWidth="1"/>
    <col min="10641" max="10641" width="14.42578125" style="92" customWidth="1"/>
    <col min="10642" max="10643" width="14.28515625" style="92" customWidth="1"/>
    <col min="10644" max="10644" width="14.7109375" style="92" customWidth="1"/>
    <col min="10645" max="10645" width="15.7109375" style="92" customWidth="1"/>
    <col min="10646" max="10646" width="9.140625" style="92"/>
    <col min="10647" max="10647" width="10.28515625" style="92" bestFit="1" customWidth="1"/>
    <col min="10648" max="10648" width="9.140625" style="92"/>
    <col min="10649" max="10649" width="11.5703125" style="92" bestFit="1" customWidth="1"/>
    <col min="10650" max="10650" width="9.28515625" style="92" bestFit="1" customWidth="1"/>
    <col min="10651" max="10651" width="9.140625" style="92"/>
    <col min="10652" max="10652" width="11.7109375" style="92" customWidth="1"/>
    <col min="10653" max="10653" width="10.28515625" style="92" bestFit="1" customWidth="1"/>
    <col min="10654" max="10654" width="9.140625" style="92"/>
    <col min="10655" max="10655" width="11" style="92" bestFit="1" customWidth="1"/>
    <col min="10656" max="10656" width="10" style="92" bestFit="1" customWidth="1"/>
    <col min="10657" max="10657" width="10.28515625" style="92" bestFit="1" customWidth="1"/>
    <col min="10658" max="10658" width="9.28515625" style="92" bestFit="1" customWidth="1"/>
    <col min="10659" max="10659" width="11.28515625" style="92" bestFit="1" customWidth="1"/>
    <col min="10660" max="10660" width="9.42578125" style="92" bestFit="1" customWidth="1"/>
    <col min="10661" max="10661" width="8.140625" style="92" bestFit="1" customWidth="1"/>
    <col min="10662" max="10662" width="10" style="92" bestFit="1" customWidth="1"/>
    <col min="10663" max="10663" width="10.28515625" style="92" bestFit="1" customWidth="1"/>
    <col min="10664" max="10664" width="8.7109375" style="92" customWidth="1"/>
    <col min="10665" max="10665" width="10.28515625" style="92" bestFit="1" customWidth="1"/>
    <col min="10666" max="10666" width="11.28515625" style="92" bestFit="1" customWidth="1"/>
    <col min="10667" max="10667" width="10.85546875" style="92" bestFit="1" customWidth="1"/>
    <col min="10668" max="10668" width="9.85546875" style="92" bestFit="1" customWidth="1"/>
    <col min="10669" max="10670" width="9.140625" style="92"/>
    <col min="10671" max="10671" width="9.85546875" style="92" bestFit="1" customWidth="1"/>
    <col min="10672" max="10675" width="9.140625" style="92"/>
    <col min="10676" max="10676" width="13.5703125" style="92" bestFit="1" customWidth="1"/>
    <col min="10677" max="10677" width="10.28515625" style="92" bestFit="1" customWidth="1"/>
    <col min="10678" max="10792" width="9.140625" style="92"/>
    <col min="10793" max="10793" width="3.7109375" style="92" customWidth="1"/>
    <col min="10794" max="10794" width="26.5703125" style="92" customWidth="1"/>
    <col min="10795" max="10796" width="13.7109375" style="92" customWidth="1"/>
    <col min="10797" max="10797" width="11.42578125" style="92" customWidth="1"/>
    <col min="10798" max="10798" width="13.42578125" style="92" customWidth="1"/>
    <col min="10799" max="10799" width="11.140625" style="92" customWidth="1"/>
    <col min="10800" max="10800" width="10.28515625" style="92" customWidth="1"/>
    <col min="10801" max="10801" width="9.42578125" style="92" customWidth="1"/>
    <col min="10802" max="10802" width="8.140625" style="92" customWidth="1"/>
    <col min="10803" max="10803" width="11.42578125" style="92" customWidth="1"/>
    <col min="10804" max="10804" width="7.7109375" style="92" customWidth="1"/>
    <col min="10805" max="10805" width="9" style="92" customWidth="1"/>
    <col min="10806" max="10807" width="9.140625" style="92" customWidth="1"/>
    <col min="10808" max="10812" width="9.140625" style="92"/>
    <col min="10813" max="10813" width="9" style="92" customWidth="1"/>
    <col min="10814" max="10814" width="9.140625" style="92"/>
    <col min="10815" max="10815" width="15.140625" style="92" customWidth="1"/>
    <col min="10816" max="10824" width="9.140625" style="92"/>
    <col min="10825" max="10825" width="10.5703125" style="92" customWidth="1"/>
    <col min="10826" max="10830" width="9.140625" style="92"/>
    <col min="10831" max="10831" width="9" style="92" bestFit="1" customWidth="1"/>
    <col min="10832" max="10832" width="12.140625" style="92" customWidth="1"/>
    <col min="10833" max="10833" width="13.28515625" style="92" customWidth="1"/>
    <col min="10834" max="10834" width="9.140625" style="92"/>
    <col min="10835" max="10835" width="13.140625" style="92" customWidth="1"/>
    <col min="10836" max="10836" width="11.5703125" style="92" customWidth="1"/>
    <col min="10837" max="10837" width="15.42578125" style="92" bestFit="1" customWidth="1"/>
    <col min="10838" max="10855" width="9.140625" style="92"/>
    <col min="10856" max="10858" width="11.140625" style="92" customWidth="1"/>
    <col min="10859" max="10859" width="14.85546875" style="92" bestFit="1" customWidth="1"/>
    <col min="10860" max="10865" width="14.85546875" style="92" customWidth="1"/>
    <col min="10866" max="10869" width="11.140625" style="92" customWidth="1"/>
    <col min="10870" max="10870" width="11" style="92" customWidth="1"/>
    <col min="10871" max="10871" width="13.28515625" style="92" customWidth="1"/>
    <col min="10872" max="10872" width="12.42578125" style="92" customWidth="1"/>
    <col min="10873" max="10881" width="14.85546875" style="92" customWidth="1"/>
    <col min="10882" max="10882" width="13.140625" style="92" customWidth="1"/>
    <col min="10883" max="10883" width="13.7109375" style="92" customWidth="1"/>
    <col min="10884" max="10886" width="13.28515625" style="92" customWidth="1"/>
    <col min="10887" max="10887" width="15.7109375" style="92" customWidth="1"/>
    <col min="10888" max="10888" width="9.140625" style="92"/>
    <col min="10889" max="10889" width="10.28515625" style="92" bestFit="1" customWidth="1"/>
    <col min="10890" max="10890" width="11.5703125" style="92" bestFit="1" customWidth="1"/>
    <col min="10891" max="10891" width="9.140625" style="92" customWidth="1"/>
    <col min="10892" max="10892" width="10.42578125" style="92" customWidth="1"/>
    <col min="10893" max="10894" width="15.85546875" style="92" customWidth="1"/>
    <col min="10895" max="10896" width="16.85546875" style="92" customWidth="1"/>
    <col min="10897" max="10897" width="14.42578125" style="92" customWidth="1"/>
    <col min="10898" max="10899" width="14.28515625" style="92" customWidth="1"/>
    <col min="10900" max="10900" width="14.7109375" style="92" customWidth="1"/>
    <col min="10901" max="10901" width="15.7109375" style="92" customWidth="1"/>
    <col min="10902" max="10902" width="9.140625" style="92"/>
    <col min="10903" max="10903" width="10.28515625" style="92" bestFit="1" customWidth="1"/>
    <col min="10904" max="10904" width="9.140625" style="92"/>
    <col min="10905" max="10905" width="11.5703125" style="92" bestFit="1" customWidth="1"/>
    <col min="10906" max="10906" width="9.28515625" style="92" bestFit="1" customWidth="1"/>
    <col min="10907" max="10907" width="9.140625" style="92"/>
    <col min="10908" max="10908" width="11.7109375" style="92" customWidth="1"/>
    <col min="10909" max="10909" width="10.28515625" style="92" bestFit="1" customWidth="1"/>
    <col min="10910" max="10910" width="9.140625" style="92"/>
    <col min="10911" max="10911" width="11" style="92" bestFit="1" customWidth="1"/>
    <col min="10912" max="10912" width="10" style="92" bestFit="1" customWidth="1"/>
    <col min="10913" max="10913" width="10.28515625" style="92" bestFit="1" customWidth="1"/>
    <col min="10914" max="10914" width="9.28515625" style="92" bestFit="1" customWidth="1"/>
    <col min="10915" max="10915" width="11.28515625" style="92" bestFit="1" customWidth="1"/>
    <col min="10916" max="10916" width="9.42578125" style="92" bestFit="1" customWidth="1"/>
    <col min="10917" max="10917" width="8.140625" style="92" bestFit="1" customWidth="1"/>
    <col min="10918" max="10918" width="10" style="92" bestFit="1" customWidth="1"/>
    <col min="10919" max="10919" width="10.28515625" style="92" bestFit="1" customWidth="1"/>
    <col min="10920" max="10920" width="8.7109375" style="92" customWidth="1"/>
    <col min="10921" max="10921" width="10.28515625" style="92" bestFit="1" customWidth="1"/>
    <col min="10922" max="10922" width="11.28515625" style="92" bestFit="1" customWidth="1"/>
    <col min="10923" max="10923" width="10.85546875" style="92" bestFit="1" customWidth="1"/>
    <col min="10924" max="10924" width="9.85546875" style="92" bestFit="1" customWidth="1"/>
    <col min="10925" max="10926" width="9.140625" style="92"/>
    <col min="10927" max="10927" width="9.85546875" style="92" bestFit="1" customWidth="1"/>
    <col min="10928" max="10931" width="9.140625" style="92"/>
    <col min="10932" max="10932" width="13.5703125" style="92" bestFit="1" customWidth="1"/>
    <col min="10933" max="10933" width="10.28515625" style="92" bestFit="1" customWidth="1"/>
    <col min="10934" max="11048" width="9.140625" style="92"/>
    <col min="11049" max="11049" width="3.7109375" style="92" customWidth="1"/>
    <col min="11050" max="11050" width="26.5703125" style="92" customWidth="1"/>
    <col min="11051" max="11052" width="13.7109375" style="92" customWidth="1"/>
    <col min="11053" max="11053" width="11.42578125" style="92" customWidth="1"/>
    <col min="11054" max="11054" width="13.42578125" style="92" customWidth="1"/>
    <col min="11055" max="11055" width="11.140625" style="92" customWidth="1"/>
    <col min="11056" max="11056" width="10.28515625" style="92" customWidth="1"/>
    <col min="11057" max="11057" width="9.42578125" style="92" customWidth="1"/>
    <col min="11058" max="11058" width="8.140625" style="92" customWidth="1"/>
    <col min="11059" max="11059" width="11.42578125" style="92" customWidth="1"/>
    <col min="11060" max="11060" width="7.7109375" style="92" customWidth="1"/>
    <col min="11061" max="11061" width="9" style="92" customWidth="1"/>
    <col min="11062" max="11063" width="9.140625" style="92" customWidth="1"/>
    <col min="11064" max="11068" width="9.140625" style="92"/>
    <col min="11069" max="11069" width="9" style="92" customWidth="1"/>
    <col min="11070" max="11070" width="9.140625" style="92"/>
    <col min="11071" max="11071" width="15.140625" style="92" customWidth="1"/>
    <col min="11072" max="11080" width="9.140625" style="92"/>
    <col min="11081" max="11081" width="10.5703125" style="92" customWidth="1"/>
    <col min="11082" max="11086" width="9.140625" style="92"/>
    <col min="11087" max="11087" width="9" style="92" bestFit="1" customWidth="1"/>
    <col min="11088" max="11088" width="12.140625" style="92" customWidth="1"/>
    <col min="11089" max="11089" width="13.28515625" style="92" customWidth="1"/>
    <col min="11090" max="11090" width="9.140625" style="92"/>
    <col min="11091" max="11091" width="13.140625" style="92" customWidth="1"/>
    <col min="11092" max="11092" width="11.5703125" style="92" customWidth="1"/>
    <col min="11093" max="11093" width="15.42578125" style="92" bestFit="1" customWidth="1"/>
    <col min="11094" max="11111" width="9.140625" style="92"/>
    <col min="11112" max="11114" width="11.140625" style="92" customWidth="1"/>
    <col min="11115" max="11115" width="14.85546875" style="92" bestFit="1" customWidth="1"/>
    <col min="11116" max="11121" width="14.85546875" style="92" customWidth="1"/>
    <col min="11122" max="11125" width="11.140625" style="92" customWidth="1"/>
    <col min="11126" max="11126" width="11" style="92" customWidth="1"/>
    <col min="11127" max="11127" width="13.28515625" style="92" customWidth="1"/>
    <col min="11128" max="11128" width="12.42578125" style="92" customWidth="1"/>
    <col min="11129" max="11137" width="14.85546875" style="92" customWidth="1"/>
    <col min="11138" max="11138" width="13.140625" style="92" customWidth="1"/>
    <col min="11139" max="11139" width="13.7109375" style="92" customWidth="1"/>
    <col min="11140" max="11142" width="13.28515625" style="92" customWidth="1"/>
    <col min="11143" max="11143" width="15.7109375" style="92" customWidth="1"/>
    <col min="11144" max="11144" width="9.140625" style="92"/>
    <col min="11145" max="11145" width="10.28515625" style="92" bestFit="1" customWidth="1"/>
    <col min="11146" max="11146" width="11.5703125" style="92" bestFit="1" customWidth="1"/>
    <col min="11147" max="11147" width="9.140625" style="92" customWidth="1"/>
    <col min="11148" max="11148" width="10.42578125" style="92" customWidth="1"/>
    <col min="11149" max="11150" width="15.85546875" style="92" customWidth="1"/>
    <col min="11151" max="11152" width="16.85546875" style="92" customWidth="1"/>
    <col min="11153" max="11153" width="14.42578125" style="92" customWidth="1"/>
    <col min="11154" max="11155" width="14.28515625" style="92" customWidth="1"/>
    <col min="11156" max="11156" width="14.7109375" style="92" customWidth="1"/>
    <col min="11157" max="11157" width="15.7109375" style="92" customWidth="1"/>
    <col min="11158" max="11158" width="9.140625" style="92"/>
    <col min="11159" max="11159" width="10.28515625" style="92" bestFit="1" customWidth="1"/>
    <col min="11160" max="11160" width="9.140625" style="92"/>
    <col min="11161" max="11161" width="11.5703125" style="92" bestFit="1" customWidth="1"/>
    <col min="11162" max="11162" width="9.28515625" style="92" bestFit="1" customWidth="1"/>
    <col min="11163" max="11163" width="9.140625" style="92"/>
    <col min="11164" max="11164" width="11.7109375" style="92" customWidth="1"/>
    <col min="11165" max="11165" width="10.28515625" style="92" bestFit="1" customWidth="1"/>
    <col min="11166" max="11166" width="9.140625" style="92"/>
    <col min="11167" max="11167" width="11" style="92" bestFit="1" customWidth="1"/>
    <col min="11168" max="11168" width="10" style="92" bestFit="1" customWidth="1"/>
    <col min="11169" max="11169" width="10.28515625" style="92" bestFit="1" customWidth="1"/>
    <col min="11170" max="11170" width="9.28515625" style="92" bestFit="1" customWidth="1"/>
    <col min="11171" max="11171" width="11.28515625" style="92" bestFit="1" customWidth="1"/>
    <col min="11172" max="11172" width="9.42578125" style="92" bestFit="1" customWidth="1"/>
    <col min="11173" max="11173" width="8.140625" style="92" bestFit="1" customWidth="1"/>
    <col min="11174" max="11174" width="10" style="92" bestFit="1" customWidth="1"/>
    <col min="11175" max="11175" width="10.28515625" style="92" bestFit="1" customWidth="1"/>
    <col min="11176" max="11176" width="8.7109375" style="92" customWidth="1"/>
    <col min="11177" max="11177" width="10.28515625" style="92" bestFit="1" customWidth="1"/>
    <col min="11178" max="11178" width="11.28515625" style="92" bestFit="1" customWidth="1"/>
    <col min="11179" max="11179" width="10.85546875" style="92" bestFit="1" customWidth="1"/>
    <col min="11180" max="11180" width="9.85546875" style="92" bestFit="1" customWidth="1"/>
    <col min="11181" max="11182" width="9.140625" style="92"/>
    <col min="11183" max="11183" width="9.85546875" style="92" bestFit="1" customWidth="1"/>
    <col min="11184" max="11187" width="9.140625" style="92"/>
    <col min="11188" max="11188" width="13.5703125" style="92" bestFit="1" customWidth="1"/>
    <col min="11189" max="11189" width="10.28515625" style="92" bestFit="1" customWidth="1"/>
    <col min="11190" max="11304" width="9.140625" style="92"/>
    <col min="11305" max="11305" width="3.7109375" style="92" customWidth="1"/>
    <col min="11306" max="11306" width="26.5703125" style="92" customWidth="1"/>
    <col min="11307" max="11308" width="13.7109375" style="92" customWidth="1"/>
    <col min="11309" max="11309" width="11.42578125" style="92" customWidth="1"/>
    <col min="11310" max="11310" width="13.42578125" style="92" customWidth="1"/>
    <col min="11311" max="11311" width="11.140625" style="92" customWidth="1"/>
    <col min="11312" max="11312" width="10.28515625" style="92" customWidth="1"/>
    <col min="11313" max="11313" width="9.42578125" style="92" customWidth="1"/>
    <col min="11314" max="11314" width="8.140625" style="92" customWidth="1"/>
    <col min="11315" max="11315" width="11.42578125" style="92" customWidth="1"/>
    <col min="11316" max="11316" width="7.7109375" style="92" customWidth="1"/>
    <col min="11317" max="11317" width="9" style="92" customWidth="1"/>
    <col min="11318" max="11319" width="9.140625" style="92" customWidth="1"/>
    <col min="11320" max="11324" width="9.140625" style="92"/>
    <col min="11325" max="11325" width="9" style="92" customWidth="1"/>
    <col min="11326" max="11326" width="9.140625" style="92"/>
    <col min="11327" max="11327" width="15.140625" style="92" customWidth="1"/>
    <col min="11328" max="11336" width="9.140625" style="92"/>
    <col min="11337" max="11337" width="10.5703125" style="92" customWidth="1"/>
    <col min="11338" max="11342" width="9.140625" style="92"/>
    <col min="11343" max="11343" width="9" style="92" bestFit="1" customWidth="1"/>
    <col min="11344" max="11344" width="12.140625" style="92" customWidth="1"/>
    <col min="11345" max="11345" width="13.28515625" style="92" customWidth="1"/>
    <col min="11346" max="11346" width="9.140625" style="92"/>
    <col min="11347" max="11347" width="13.140625" style="92" customWidth="1"/>
    <col min="11348" max="11348" width="11.5703125" style="92" customWidth="1"/>
    <col min="11349" max="11349" width="15.42578125" style="92" bestFit="1" customWidth="1"/>
    <col min="11350" max="11367" width="9.140625" style="92"/>
    <col min="11368" max="11370" width="11.140625" style="92" customWidth="1"/>
    <col min="11371" max="11371" width="14.85546875" style="92" bestFit="1" customWidth="1"/>
    <col min="11372" max="11377" width="14.85546875" style="92" customWidth="1"/>
    <col min="11378" max="11381" width="11.140625" style="92" customWidth="1"/>
    <col min="11382" max="11382" width="11" style="92" customWidth="1"/>
    <col min="11383" max="11383" width="13.28515625" style="92" customWidth="1"/>
    <col min="11384" max="11384" width="12.42578125" style="92" customWidth="1"/>
    <col min="11385" max="11393" width="14.85546875" style="92" customWidth="1"/>
    <col min="11394" max="11394" width="13.140625" style="92" customWidth="1"/>
    <col min="11395" max="11395" width="13.7109375" style="92" customWidth="1"/>
    <col min="11396" max="11398" width="13.28515625" style="92" customWidth="1"/>
    <col min="11399" max="11399" width="15.7109375" style="92" customWidth="1"/>
    <col min="11400" max="11400" width="9.140625" style="92"/>
    <col min="11401" max="11401" width="10.28515625" style="92" bestFit="1" customWidth="1"/>
    <col min="11402" max="11402" width="11.5703125" style="92" bestFit="1" customWidth="1"/>
    <col min="11403" max="11403" width="9.140625" style="92" customWidth="1"/>
    <col min="11404" max="11404" width="10.42578125" style="92" customWidth="1"/>
    <col min="11405" max="11406" width="15.85546875" style="92" customWidth="1"/>
    <col min="11407" max="11408" width="16.85546875" style="92" customWidth="1"/>
    <col min="11409" max="11409" width="14.42578125" style="92" customWidth="1"/>
    <col min="11410" max="11411" width="14.28515625" style="92" customWidth="1"/>
    <col min="11412" max="11412" width="14.7109375" style="92" customWidth="1"/>
    <col min="11413" max="11413" width="15.7109375" style="92" customWidth="1"/>
    <col min="11414" max="11414" width="9.140625" style="92"/>
    <col min="11415" max="11415" width="10.28515625" style="92" bestFit="1" customWidth="1"/>
    <col min="11416" max="11416" width="9.140625" style="92"/>
    <col min="11417" max="11417" width="11.5703125" style="92" bestFit="1" customWidth="1"/>
    <col min="11418" max="11418" width="9.28515625" style="92" bestFit="1" customWidth="1"/>
    <col min="11419" max="11419" width="9.140625" style="92"/>
    <col min="11420" max="11420" width="11.7109375" style="92" customWidth="1"/>
    <col min="11421" max="11421" width="10.28515625" style="92" bestFit="1" customWidth="1"/>
    <col min="11422" max="11422" width="9.140625" style="92"/>
    <col min="11423" max="11423" width="11" style="92" bestFit="1" customWidth="1"/>
    <col min="11424" max="11424" width="10" style="92" bestFit="1" customWidth="1"/>
    <col min="11425" max="11425" width="10.28515625" style="92" bestFit="1" customWidth="1"/>
    <col min="11426" max="11426" width="9.28515625" style="92" bestFit="1" customWidth="1"/>
    <col min="11427" max="11427" width="11.28515625" style="92" bestFit="1" customWidth="1"/>
    <col min="11428" max="11428" width="9.42578125" style="92" bestFit="1" customWidth="1"/>
    <col min="11429" max="11429" width="8.140625" style="92" bestFit="1" customWidth="1"/>
    <col min="11430" max="11430" width="10" style="92" bestFit="1" customWidth="1"/>
    <col min="11431" max="11431" width="10.28515625" style="92" bestFit="1" customWidth="1"/>
    <col min="11432" max="11432" width="8.7109375" style="92" customWidth="1"/>
    <col min="11433" max="11433" width="10.28515625" style="92" bestFit="1" customWidth="1"/>
    <col min="11434" max="11434" width="11.28515625" style="92" bestFit="1" customWidth="1"/>
    <col min="11435" max="11435" width="10.85546875" style="92" bestFit="1" customWidth="1"/>
    <col min="11436" max="11436" width="9.85546875" style="92" bestFit="1" customWidth="1"/>
    <col min="11437" max="11438" width="9.140625" style="92"/>
    <col min="11439" max="11439" width="9.85546875" style="92" bestFit="1" customWidth="1"/>
    <col min="11440" max="11443" width="9.140625" style="92"/>
    <col min="11444" max="11444" width="13.5703125" style="92" bestFit="1" customWidth="1"/>
    <col min="11445" max="11445" width="10.28515625" style="92" bestFit="1" customWidth="1"/>
    <col min="11446" max="11560" width="9.140625" style="92"/>
    <col min="11561" max="11561" width="3.7109375" style="92" customWidth="1"/>
    <col min="11562" max="11562" width="26.5703125" style="92" customWidth="1"/>
    <col min="11563" max="11564" width="13.7109375" style="92" customWidth="1"/>
    <col min="11565" max="11565" width="11.42578125" style="92" customWidth="1"/>
    <col min="11566" max="11566" width="13.42578125" style="92" customWidth="1"/>
    <col min="11567" max="11567" width="11.140625" style="92" customWidth="1"/>
    <col min="11568" max="11568" width="10.28515625" style="92" customWidth="1"/>
    <col min="11569" max="11569" width="9.42578125" style="92" customWidth="1"/>
    <col min="11570" max="11570" width="8.140625" style="92" customWidth="1"/>
    <col min="11571" max="11571" width="11.42578125" style="92" customWidth="1"/>
    <col min="11572" max="11572" width="7.7109375" style="92" customWidth="1"/>
    <col min="11573" max="11573" width="9" style="92" customWidth="1"/>
    <col min="11574" max="11575" width="9.140625" style="92" customWidth="1"/>
    <col min="11576" max="11580" width="9.140625" style="92"/>
    <col min="11581" max="11581" width="9" style="92" customWidth="1"/>
    <col min="11582" max="11582" width="9.140625" style="92"/>
    <col min="11583" max="11583" width="15.140625" style="92" customWidth="1"/>
    <col min="11584" max="11592" width="9.140625" style="92"/>
    <col min="11593" max="11593" width="10.5703125" style="92" customWidth="1"/>
    <col min="11594" max="11598" width="9.140625" style="92"/>
    <col min="11599" max="11599" width="9" style="92" bestFit="1" customWidth="1"/>
    <col min="11600" max="11600" width="12.140625" style="92" customWidth="1"/>
    <col min="11601" max="11601" width="13.28515625" style="92" customWidth="1"/>
    <col min="11602" max="11602" width="9.140625" style="92"/>
    <col min="11603" max="11603" width="13.140625" style="92" customWidth="1"/>
    <col min="11604" max="11604" width="11.5703125" style="92" customWidth="1"/>
    <col min="11605" max="11605" width="15.42578125" style="92" bestFit="1" customWidth="1"/>
    <col min="11606" max="11623" width="9.140625" style="92"/>
    <col min="11624" max="11626" width="11.140625" style="92" customWidth="1"/>
    <col min="11627" max="11627" width="14.85546875" style="92" bestFit="1" customWidth="1"/>
    <col min="11628" max="11633" width="14.85546875" style="92" customWidth="1"/>
    <col min="11634" max="11637" width="11.140625" style="92" customWidth="1"/>
    <col min="11638" max="11638" width="11" style="92" customWidth="1"/>
    <col min="11639" max="11639" width="13.28515625" style="92" customWidth="1"/>
    <col min="11640" max="11640" width="12.42578125" style="92" customWidth="1"/>
    <col min="11641" max="11649" width="14.85546875" style="92" customWidth="1"/>
    <col min="11650" max="11650" width="13.140625" style="92" customWidth="1"/>
    <col min="11651" max="11651" width="13.7109375" style="92" customWidth="1"/>
    <col min="11652" max="11654" width="13.28515625" style="92" customWidth="1"/>
    <col min="11655" max="11655" width="15.7109375" style="92" customWidth="1"/>
    <col min="11656" max="11656" width="9.140625" style="92"/>
    <col min="11657" max="11657" width="10.28515625" style="92" bestFit="1" customWidth="1"/>
    <col min="11658" max="11658" width="11.5703125" style="92" bestFit="1" customWidth="1"/>
    <col min="11659" max="11659" width="9.140625" style="92" customWidth="1"/>
    <col min="11660" max="11660" width="10.42578125" style="92" customWidth="1"/>
    <col min="11661" max="11662" width="15.85546875" style="92" customWidth="1"/>
    <col min="11663" max="11664" width="16.85546875" style="92" customWidth="1"/>
    <col min="11665" max="11665" width="14.42578125" style="92" customWidth="1"/>
    <col min="11666" max="11667" width="14.28515625" style="92" customWidth="1"/>
    <col min="11668" max="11668" width="14.7109375" style="92" customWidth="1"/>
    <col min="11669" max="11669" width="15.7109375" style="92" customWidth="1"/>
    <col min="11670" max="11670" width="9.140625" style="92"/>
    <col min="11671" max="11671" width="10.28515625" style="92" bestFit="1" customWidth="1"/>
    <col min="11672" max="11672" width="9.140625" style="92"/>
    <col min="11673" max="11673" width="11.5703125" style="92" bestFit="1" customWidth="1"/>
    <col min="11674" max="11674" width="9.28515625" style="92" bestFit="1" customWidth="1"/>
    <col min="11675" max="11675" width="9.140625" style="92"/>
    <col min="11676" max="11676" width="11.7109375" style="92" customWidth="1"/>
    <col min="11677" max="11677" width="10.28515625" style="92" bestFit="1" customWidth="1"/>
    <col min="11678" max="11678" width="9.140625" style="92"/>
    <col min="11679" max="11679" width="11" style="92" bestFit="1" customWidth="1"/>
    <col min="11680" max="11680" width="10" style="92" bestFit="1" customWidth="1"/>
    <col min="11681" max="11681" width="10.28515625" style="92" bestFit="1" customWidth="1"/>
    <col min="11682" max="11682" width="9.28515625" style="92" bestFit="1" customWidth="1"/>
    <col min="11683" max="11683" width="11.28515625" style="92" bestFit="1" customWidth="1"/>
    <col min="11684" max="11684" width="9.42578125" style="92" bestFit="1" customWidth="1"/>
    <col min="11685" max="11685" width="8.140625" style="92" bestFit="1" customWidth="1"/>
    <col min="11686" max="11686" width="10" style="92" bestFit="1" customWidth="1"/>
    <col min="11687" max="11687" width="10.28515625" style="92" bestFit="1" customWidth="1"/>
    <col min="11688" max="11688" width="8.7109375" style="92" customWidth="1"/>
    <col min="11689" max="11689" width="10.28515625" style="92" bestFit="1" customWidth="1"/>
    <col min="11690" max="11690" width="11.28515625" style="92" bestFit="1" customWidth="1"/>
    <col min="11691" max="11691" width="10.85546875" style="92" bestFit="1" customWidth="1"/>
    <col min="11692" max="11692" width="9.85546875" style="92" bestFit="1" customWidth="1"/>
    <col min="11693" max="11694" width="9.140625" style="92"/>
    <col min="11695" max="11695" width="9.85546875" style="92" bestFit="1" customWidth="1"/>
    <col min="11696" max="11699" width="9.140625" style="92"/>
    <col min="11700" max="11700" width="13.5703125" style="92" bestFit="1" customWidth="1"/>
    <col min="11701" max="11701" width="10.28515625" style="92" bestFit="1" customWidth="1"/>
    <col min="11702" max="11816" width="9.140625" style="92"/>
    <col min="11817" max="11817" width="3.7109375" style="92" customWidth="1"/>
    <col min="11818" max="11818" width="26.5703125" style="92" customWidth="1"/>
    <col min="11819" max="11820" width="13.7109375" style="92" customWidth="1"/>
    <col min="11821" max="11821" width="11.42578125" style="92" customWidth="1"/>
    <col min="11822" max="11822" width="13.42578125" style="92" customWidth="1"/>
    <col min="11823" max="11823" width="11.140625" style="92" customWidth="1"/>
    <col min="11824" max="11824" width="10.28515625" style="92" customWidth="1"/>
    <col min="11825" max="11825" width="9.42578125" style="92" customWidth="1"/>
    <col min="11826" max="11826" width="8.140625" style="92" customWidth="1"/>
    <col min="11827" max="11827" width="11.42578125" style="92" customWidth="1"/>
    <col min="11828" max="11828" width="7.7109375" style="92" customWidth="1"/>
    <col min="11829" max="11829" width="9" style="92" customWidth="1"/>
    <col min="11830" max="11831" width="9.140625" style="92" customWidth="1"/>
    <col min="11832" max="11836" width="9.140625" style="92"/>
    <col min="11837" max="11837" width="9" style="92" customWidth="1"/>
    <col min="11838" max="11838" width="9.140625" style="92"/>
    <col min="11839" max="11839" width="15.140625" style="92" customWidth="1"/>
    <col min="11840" max="11848" width="9.140625" style="92"/>
    <col min="11849" max="11849" width="10.5703125" style="92" customWidth="1"/>
    <col min="11850" max="11854" width="9.140625" style="92"/>
    <col min="11855" max="11855" width="9" style="92" bestFit="1" customWidth="1"/>
    <col min="11856" max="11856" width="12.140625" style="92" customWidth="1"/>
    <col min="11857" max="11857" width="13.28515625" style="92" customWidth="1"/>
    <col min="11858" max="11858" width="9.140625" style="92"/>
    <col min="11859" max="11859" width="13.140625" style="92" customWidth="1"/>
    <col min="11860" max="11860" width="11.5703125" style="92" customWidth="1"/>
    <col min="11861" max="11861" width="15.42578125" style="92" bestFit="1" customWidth="1"/>
    <col min="11862" max="11879" width="9.140625" style="92"/>
    <col min="11880" max="11882" width="11.140625" style="92" customWidth="1"/>
    <col min="11883" max="11883" width="14.85546875" style="92" bestFit="1" customWidth="1"/>
    <col min="11884" max="11889" width="14.85546875" style="92" customWidth="1"/>
    <col min="11890" max="11893" width="11.140625" style="92" customWidth="1"/>
    <col min="11894" max="11894" width="11" style="92" customWidth="1"/>
    <col min="11895" max="11895" width="13.28515625" style="92" customWidth="1"/>
    <col min="11896" max="11896" width="12.42578125" style="92" customWidth="1"/>
    <col min="11897" max="11905" width="14.85546875" style="92" customWidth="1"/>
    <col min="11906" max="11906" width="13.140625" style="92" customWidth="1"/>
    <col min="11907" max="11907" width="13.7109375" style="92" customWidth="1"/>
    <col min="11908" max="11910" width="13.28515625" style="92" customWidth="1"/>
    <col min="11911" max="11911" width="15.7109375" style="92" customWidth="1"/>
    <col min="11912" max="11912" width="9.140625" style="92"/>
    <col min="11913" max="11913" width="10.28515625" style="92" bestFit="1" customWidth="1"/>
    <col min="11914" max="11914" width="11.5703125" style="92" bestFit="1" customWidth="1"/>
    <col min="11915" max="11915" width="9.140625" style="92" customWidth="1"/>
    <col min="11916" max="11916" width="10.42578125" style="92" customWidth="1"/>
    <col min="11917" max="11918" width="15.85546875" style="92" customWidth="1"/>
    <col min="11919" max="11920" width="16.85546875" style="92" customWidth="1"/>
    <col min="11921" max="11921" width="14.42578125" style="92" customWidth="1"/>
    <col min="11922" max="11923" width="14.28515625" style="92" customWidth="1"/>
    <col min="11924" max="11924" width="14.7109375" style="92" customWidth="1"/>
    <col min="11925" max="11925" width="15.7109375" style="92" customWidth="1"/>
    <col min="11926" max="11926" width="9.140625" style="92"/>
    <col min="11927" max="11927" width="10.28515625" style="92" bestFit="1" customWidth="1"/>
    <col min="11928" max="11928" width="9.140625" style="92"/>
    <col min="11929" max="11929" width="11.5703125" style="92" bestFit="1" customWidth="1"/>
    <col min="11930" max="11930" width="9.28515625" style="92" bestFit="1" customWidth="1"/>
    <col min="11931" max="11931" width="9.140625" style="92"/>
    <col min="11932" max="11932" width="11.7109375" style="92" customWidth="1"/>
    <col min="11933" max="11933" width="10.28515625" style="92" bestFit="1" customWidth="1"/>
    <col min="11934" max="11934" width="9.140625" style="92"/>
    <col min="11935" max="11935" width="11" style="92" bestFit="1" customWidth="1"/>
    <col min="11936" max="11936" width="10" style="92" bestFit="1" customWidth="1"/>
    <col min="11937" max="11937" width="10.28515625" style="92" bestFit="1" customWidth="1"/>
    <col min="11938" max="11938" width="9.28515625" style="92" bestFit="1" customWidth="1"/>
    <col min="11939" max="11939" width="11.28515625" style="92" bestFit="1" customWidth="1"/>
    <col min="11940" max="11940" width="9.42578125" style="92" bestFit="1" customWidth="1"/>
    <col min="11941" max="11941" width="8.140625" style="92" bestFit="1" customWidth="1"/>
    <col min="11942" max="11942" width="10" style="92" bestFit="1" customWidth="1"/>
    <col min="11943" max="11943" width="10.28515625" style="92" bestFit="1" customWidth="1"/>
    <col min="11944" max="11944" width="8.7109375" style="92" customWidth="1"/>
    <col min="11945" max="11945" width="10.28515625" style="92" bestFit="1" customWidth="1"/>
    <col min="11946" max="11946" width="11.28515625" style="92" bestFit="1" customWidth="1"/>
    <col min="11947" max="11947" width="10.85546875" style="92" bestFit="1" customWidth="1"/>
    <col min="11948" max="11948" width="9.85546875" style="92" bestFit="1" customWidth="1"/>
    <col min="11949" max="11950" width="9.140625" style="92"/>
    <col min="11951" max="11951" width="9.85546875" style="92" bestFit="1" customWidth="1"/>
    <col min="11952" max="11955" width="9.140625" style="92"/>
    <col min="11956" max="11956" width="13.5703125" style="92" bestFit="1" customWidth="1"/>
    <col min="11957" max="11957" width="10.28515625" style="92" bestFit="1" customWidth="1"/>
    <col min="11958" max="12072" width="9.140625" style="92"/>
    <col min="12073" max="12073" width="3.7109375" style="92" customWidth="1"/>
    <col min="12074" max="12074" width="26.5703125" style="92" customWidth="1"/>
    <col min="12075" max="12076" width="13.7109375" style="92" customWidth="1"/>
    <col min="12077" max="12077" width="11.42578125" style="92" customWidth="1"/>
    <col min="12078" max="12078" width="13.42578125" style="92" customWidth="1"/>
    <col min="12079" max="12079" width="11.140625" style="92" customWidth="1"/>
    <col min="12080" max="12080" width="10.28515625" style="92" customWidth="1"/>
    <col min="12081" max="12081" width="9.42578125" style="92" customWidth="1"/>
    <col min="12082" max="12082" width="8.140625" style="92" customWidth="1"/>
    <col min="12083" max="12083" width="11.42578125" style="92" customWidth="1"/>
    <col min="12084" max="12084" width="7.7109375" style="92" customWidth="1"/>
    <col min="12085" max="12085" width="9" style="92" customWidth="1"/>
    <col min="12086" max="12087" width="9.140625" style="92" customWidth="1"/>
    <col min="12088" max="12092" width="9.140625" style="92"/>
    <col min="12093" max="12093" width="9" style="92" customWidth="1"/>
    <col min="12094" max="12094" width="9.140625" style="92"/>
    <col min="12095" max="12095" width="15.140625" style="92" customWidth="1"/>
    <col min="12096" max="12104" width="9.140625" style="92"/>
    <col min="12105" max="12105" width="10.5703125" style="92" customWidth="1"/>
    <col min="12106" max="12110" width="9.140625" style="92"/>
    <col min="12111" max="12111" width="9" style="92" bestFit="1" customWidth="1"/>
    <col min="12112" max="12112" width="12.140625" style="92" customWidth="1"/>
    <col min="12113" max="12113" width="13.28515625" style="92" customWidth="1"/>
    <col min="12114" max="12114" width="9.140625" style="92"/>
    <col min="12115" max="12115" width="13.140625" style="92" customWidth="1"/>
    <col min="12116" max="12116" width="11.5703125" style="92" customWidth="1"/>
    <col min="12117" max="12117" width="15.42578125" style="92" bestFit="1" customWidth="1"/>
    <col min="12118" max="12135" width="9.140625" style="92"/>
    <col min="12136" max="12138" width="11.140625" style="92" customWidth="1"/>
    <col min="12139" max="12139" width="14.85546875" style="92" bestFit="1" customWidth="1"/>
    <col min="12140" max="12145" width="14.85546875" style="92" customWidth="1"/>
    <col min="12146" max="12149" width="11.140625" style="92" customWidth="1"/>
    <col min="12150" max="12150" width="11" style="92" customWidth="1"/>
    <col min="12151" max="12151" width="13.28515625" style="92" customWidth="1"/>
    <col min="12152" max="12152" width="12.42578125" style="92" customWidth="1"/>
    <col min="12153" max="12161" width="14.85546875" style="92" customWidth="1"/>
    <col min="12162" max="12162" width="13.140625" style="92" customWidth="1"/>
    <col min="12163" max="12163" width="13.7109375" style="92" customWidth="1"/>
    <col min="12164" max="12166" width="13.28515625" style="92" customWidth="1"/>
    <col min="12167" max="12167" width="15.7109375" style="92" customWidth="1"/>
    <col min="12168" max="12168" width="9.140625" style="92"/>
    <col min="12169" max="12169" width="10.28515625" style="92" bestFit="1" customWidth="1"/>
    <col min="12170" max="12170" width="11.5703125" style="92" bestFit="1" customWidth="1"/>
    <col min="12171" max="12171" width="9.140625" style="92" customWidth="1"/>
    <col min="12172" max="12172" width="10.42578125" style="92" customWidth="1"/>
    <col min="12173" max="12174" width="15.85546875" style="92" customWidth="1"/>
    <col min="12175" max="12176" width="16.85546875" style="92" customWidth="1"/>
    <col min="12177" max="12177" width="14.42578125" style="92" customWidth="1"/>
    <col min="12178" max="12179" width="14.28515625" style="92" customWidth="1"/>
    <col min="12180" max="12180" width="14.7109375" style="92" customWidth="1"/>
    <col min="12181" max="12181" width="15.7109375" style="92" customWidth="1"/>
    <col min="12182" max="12182" width="9.140625" style="92"/>
    <col min="12183" max="12183" width="10.28515625" style="92" bestFit="1" customWidth="1"/>
    <col min="12184" max="12184" width="9.140625" style="92"/>
    <col min="12185" max="12185" width="11.5703125" style="92" bestFit="1" customWidth="1"/>
    <col min="12186" max="12186" width="9.28515625" style="92" bestFit="1" customWidth="1"/>
    <col min="12187" max="12187" width="9.140625" style="92"/>
    <col min="12188" max="12188" width="11.7109375" style="92" customWidth="1"/>
    <col min="12189" max="12189" width="10.28515625" style="92" bestFit="1" customWidth="1"/>
    <col min="12190" max="12190" width="9.140625" style="92"/>
    <col min="12191" max="12191" width="11" style="92" bestFit="1" customWidth="1"/>
    <col min="12192" max="12192" width="10" style="92" bestFit="1" customWidth="1"/>
    <col min="12193" max="12193" width="10.28515625" style="92" bestFit="1" customWidth="1"/>
    <col min="12194" max="12194" width="9.28515625" style="92" bestFit="1" customWidth="1"/>
    <col min="12195" max="12195" width="11.28515625" style="92" bestFit="1" customWidth="1"/>
    <col min="12196" max="12196" width="9.42578125" style="92" bestFit="1" customWidth="1"/>
    <col min="12197" max="12197" width="8.140625" style="92" bestFit="1" customWidth="1"/>
    <col min="12198" max="12198" width="10" style="92" bestFit="1" customWidth="1"/>
    <col min="12199" max="12199" width="10.28515625" style="92" bestFit="1" customWidth="1"/>
    <col min="12200" max="12200" width="8.7109375" style="92" customWidth="1"/>
    <col min="12201" max="12201" width="10.28515625" style="92" bestFit="1" customWidth="1"/>
    <col min="12202" max="12202" width="11.28515625" style="92" bestFit="1" customWidth="1"/>
    <col min="12203" max="12203" width="10.85546875" style="92" bestFit="1" customWidth="1"/>
    <col min="12204" max="12204" width="9.85546875" style="92" bestFit="1" customWidth="1"/>
    <col min="12205" max="12206" width="9.140625" style="92"/>
    <col min="12207" max="12207" width="9.85546875" style="92" bestFit="1" customWidth="1"/>
    <col min="12208" max="12211" width="9.140625" style="92"/>
    <col min="12212" max="12212" width="13.5703125" style="92" bestFit="1" customWidth="1"/>
    <col min="12213" max="12213" width="10.28515625" style="92" bestFit="1" customWidth="1"/>
    <col min="12214" max="12328" width="9.140625" style="92"/>
    <col min="12329" max="12329" width="3.7109375" style="92" customWidth="1"/>
    <col min="12330" max="12330" width="26.5703125" style="92" customWidth="1"/>
    <col min="12331" max="12332" width="13.7109375" style="92" customWidth="1"/>
    <col min="12333" max="12333" width="11.42578125" style="92" customWidth="1"/>
    <col min="12334" max="12334" width="13.42578125" style="92" customWidth="1"/>
    <col min="12335" max="12335" width="11.140625" style="92" customWidth="1"/>
    <col min="12336" max="12336" width="10.28515625" style="92" customWidth="1"/>
    <col min="12337" max="12337" width="9.42578125" style="92" customWidth="1"/>
    <col min="12338" max="12338" width="8.140625" style="92" customWidth="1"/>
    <col min="12339" max="12339" width="11.42578125" style="92" customWidth="1"/>
    <col min="12340" max="12340" width="7.7109375" style="92" customWidth="1"/>
    <col min="12341" max="12341" width="9" style="92" customWidth="1"/>
    <col min="12342" max="12343" width="9.140625" style="92" customWidth="1"/>
    <col min="12344" max="12348" width="9.140625" style="92"/>
    <col min="12349" max="12349" width="9" style="92" customWidth="1"/>
    <col min="12350" max="12350" width="9.140625" style="92"/>
    <col min="12351" max="12351" width="15.140625" style="92" customWidth="1"/>
    <col min="12352" max="12360" width="9.140625" style="92"/>
    <col min="12361" max="12361" width="10.5703125" style="92" customWidth="1"/>
    <col min="12362" max="12366" width="9.140625" style="92"/>
    <col min="12367" max="12367" width="9" style="92" bestFit="1" customWidth="1"/>
    <col min="12368" max="12368" width="12.140625" style="92" customWidth="1"/>
    <col min="12369" max="12369" width="13.28515625" style="92" customWidth="1"/>
    <col min="12370" max="12370" width="9.140625" style="92"/>
    <col min="12371" max="12371" width="13.140625" style="92" customWidth="1"/>
    <col min="12372" max="12372" width="11.5703125" style="92" customWidth="1"/>
    <col min="12373" max="12373" width="15.42578125" style="92" bestFit="1" customWidth="1"/>
    <col min="12374" max="12391" width="9.140625" style="92"/>
    <col min="12392" max="12394" width="11.140625" style="92" customWidth="1"/>
    <col min="12395" max="12395" width="14.85546875" style="92" bestFit="1" customWidth="1"/>
    <col min="12396" max="12401" width="14.85546875" style="92" customWidth="1"/>
    <col min="12402" max="12405" width="11.140625" style="92" customWidth="1"/>
    <col min="12406" max="12406" width="11" style="92" customWidth="1"/>
    <col min="12407" max="12407" width="13.28515625" style="92" customWidth="1"/>
    <col min="12408" max="12408" width="12.42578125" style="92" customWidth="1"/>
    <col min="12409" max="12417" width="14.85546875" style="92" customWidth="1"/>
    <col min="12418" max="12418" width="13.140625" style="92" customWidth="1"/>
    <col min="12419" max="12419" width="13.7109375" style="92" customWidth="1"/>
    <col min="12420" max="12422" width="13.28515625" style="92" customWidth="1"/>
    <col min="12423" max="12423" width="15.7109375" style="92" customWidth="1"/>
    <col min="12424" max="12424" width="9.140625" style="92"/>
    <col min="12425" max="12425" width="10.28515625" style="92" bestFit="1" customWidth="1"/>
    <col min="12426" max="12426" width="11.5703125" style="92" bestFit="1" customWidth="1"/>
    <col min="12427" max="12427" width="9.140625" style="92" customWidth="1"/>
    <col min="12428" max="12428" width="10.42578125" style="92" customWidth="1"/>
    <col min="12429" max="12430" width="15.85546875" style="92" customWidth="1"/>
    <col min="12431" max="12432" width="16.85546875" style="92" customWidth="1"/>
    <col min="12433" max="12433" width="14.42578125" style="92" customWidth="1"/>
    <col min="12434" max="12435" width="14.28515625" style="92" customWidth="1"/>
    <col min="12436" max="12436" width="14.7109375" style="92" customWidth="1"/>
    <col min="12437" max="12437" width="15.7109375" style="92" customWidth="1"/>
    <col min="12438" max="12438" width="9.140625" style="92"/>
    <col min="12439" max="12439" width="10.28515625" style="92" bestFit="1" customWidth="1"/>
    <col min="12440" max="12440" width="9.140625" style="92"/>
    <col min="12441" max="12441" width="11.5703125" style="92" bestFit="1" customWidth="1"/>
    <col min="12442" max="12442" width="9.28515625" style="92" bestFit="1" customWidth="1"/>
    <col min="12443" max="12443" width="9.140625" style="92"/>
    <col min="12444" max="12444" width="11.7109375" style="92" customWidth="1"/>
    <col min="12445" max="12445" width="10.28515625" style="92" bestFit="1" customWidth="1"/>
    <col min="12446" max="12446" width="9.140625" style="92"/>
    <col min="12447" max="12447" width="11" style="92" bestFit="1" customWidth="1"/>
    <col min="12448" max="12448" width="10" style="92" bestFit="1" customWidth="1"/>
    <col min="12449" max="12449" width="10.28515625" style="92" bestFit="1" customWidth="1"/>
    <col min="12450" max="12450" width="9.28515625" style="92" bestFit="1" customWidth="1"/>
    <col min="12451" max="12451" width="11.28515625" style="92" bestFit="1" customWidth="1"/>
    <col min="12452" max="12452" width="9.42578125" style="92" bestFit="1" customWidth="1"/>
    <col min="12453" max="12453" width="8.140625" style="92" bestFit="1" customWidth="1"/>
    <col min="12454" max="12454" width="10" style="92" bestFit="1" customWidth="1"/>
    <col min="12455" max="12455" width="10.28515625" style="92" bestFit="1" customWidth="1"/>
    <col min="12456" max="12456" width="8.7109375" style="92" customWidth="1"/>
    <col min="12457" max="12457" width="10.28515625" style="92" bestFit="1" customWidth="1"/>
    <col min="12458" max="12458" width="11.28515625" style="92" bestFit="1" customWidth="1"/>
    <col min="12459" max="12459" width="10.85546875" style="92" bestFit="1" customWidth="1"/>
    <col min="12460" max="12460" width="9.85546875" style="92" bestFit="1" customWidth="1"/>
    <col min="12461" max="12462" width="9.140625" style="92"/>
    <col min="12463" max="12463" width="9.85546875" style="92" bestFit="1" customWidth="1"/>
    <col min="12464" max="12467" width="9.140625" style="92"/>
    <col min="12468" max="12468" width="13.5703125" style="92" bestFit="1" customWidth="1"/>
    <col min="12469" max="12469" width="10.28515625" style="92" bestFit="1" customWidth="1"/>
    <col min="12470" max="12584" width="9.140625" style="92"/>
    <col min="12585" max="12585" width="3.7109375" style="92" customWidth="1"/>
    <col min="12586" max="12586" width="26.5703125" style="92" customWidth="1"/>
    <col min="12587" max="12588" width="13.7109375" style="92" customWidth="1"/>
    <col min="12589" max="12589" width="11.42578125" style="92" customWidth="1"/>
    <col min="12590" max="12590" width="13.42578125" style="92" customWidth="1"/>
    <col min="12591" max="12591" width="11.140625" style="92" customWidth="1"/>
    <col min="12592" max="12592" width="10.28515625" style="92" customWidth="1"/>
    <col min="12593" max="12593" width="9.42578125" style="92" customWidth="1"/>
    <col min="12594" max="12594" width="8.140625" style="92" customWidth="1"/>
    <col min="12595" max="12595" width="11.42578125" style="92" customWidth="1"/>
    <col min="12596" max="12596" width="7.7109375" style="92" customWidth="1"/>
    <col min="12597" max="12597" width="9" style="92" customWidth="1"/>
    <col min="12598" max="12599" width="9.140625" style="92" customWidth="1"/>
    <col min="12600" max="12604" width="9.140625" style="92"/>
    <col min="12605" max="12605" width="9" style="92" customWidth="1"/>
    <col min="12606" max="12606" width="9.140625" style="92"/>
    <col min="12607" max="12607" width="15.140625" style="92" customWidth="1"/>
    <col min="12608" max="12616" width="9.140625" style="92"/>
    <col min="12617" max="12617" width="10.5703125" style="92" customWidth="1"/>
    <col min="12618" max="12622" width="9.140625" style="92"/>
    <col min="12623" max="12623" width="9" style="92" bestFit="1" customWidth="1"/>
    <col min="12624" max="12624" width="12.140625" style="92" customWidth="1"/>
    <col min="12625" max="12625" width="13.28515625" style="92" customWidth="1"/>
    <col min="12626" max="12626" width="9.140625" style="92"/>
    <col min="12627" max="12627" width="13.140625" style="92" customWidth="1"/>
    <col min="12628" max="12628" width="11.5703125" style="92" customWidth="1"/>
    <col min="12629" max="12629" width="15.42578125" style="92" bestFit="1" customWidth="1"/>
    <col min="12630" max="12647" width="9.140625" style="92"/>
    <col min="12648" max="12650" width="11.140625" style="92" customWidth="1"/>
    <col min="12651" max="12651" width="14.85546875" style="92" bestFit="1" customWidth="1"/>
    <col min="12652" max="12657" width="14.85546875" style="92" customWidth="1"/>
    <col min="12658" max="12661" width="11.140625" style="92" customWidth="1"/>
    <col min="12662" max="12662" width="11" style="92" customWidth="1"/>
    <col min="12663" max="12663" width="13.28515625" style="92" customWidth="1"/>
    <col min="12664" max="12664" width="12.42578125" style="92" customWidth="1"/>
    <col min="12665" max="12673" width="14.85546875" style="92" customWidth="1"/>
    <col min="12674" max="12674" width="13.140625" style="92" customWidth="1"/>
    <col min="12675" max="12675" width="13.7109375" style="92" customWidth="1"/>
    <col min="12676" max="12678" width="13.28515625" style="92" customWidth="1"/>
    <col min="12679" max="12679" width="15.7109375" style="92" customWidth="1"/>
    <col min="12680" max="12680" width="9.140625" style="92"/>
    <col min="12681" max="12681" width="10.28515625" style="92" bestFit="1" customWidth="1"/>
    <col min="12682" max="12682" width="11.5703125" style="92" bestFit="1" customWidth="1"/>
    <col min="12683" max="12683" width="9.140625" style="92" customWidth="1"/>
    <col min="12684" max="12684" width="10.42578125" style="92" customWidth="1"/>
    <col min="12685" max="12686" width="15.85546875" style="92" customWidth="1"/>
    <col min="12687" max="12688" width="16.85546875" style="92" customWidth="1"/>
    <col min="12689" max="12689" width="14.42578125" style="92" customWidth="1"/>
    <col min="12690" max="12691" width="14.28515625" style="92" customWidth="1"/>
    <col min="12692" max="12692" width="14.7109375" style="92" customWidth="1"/>
    <col min="12693" max="12693" width="15.7109375" style="92" customWidth="1"/>
    <col min="12694" max="12694" width="9.140625" style="92"/>
    <col min="12695" max="12695" width="10.28515625" style="92" bestFit="1" customWidth="1"/>
    <col min="12696" max="12696" width="9.140625" style="92"/>
    <col min="12697" max="12697" width="11.5703125" style="92" bestFit="1" customWidth="1"/>
    <col min="12698" max="12698" width="9.28515625" style="92" bestFit="1" customWidth="1"/>
    <col min="12699" max="12699" width="9.140625" style="92"/>
    <col min="12700" max="12700" width="11.7109375" style="92" customWidth="1"/>
    <col min="12701" max="12701" width="10.28515625" style="92" bestFit="1" customWidth="1"/>
    <col min="12702" max="12702" width="9.140625" style="92"/>
    <col min="12703" max="12703" width="11" style="92" bestFit="1" customWidth="1"/>
    <col min="12704" max="12704" width="10" style="92" bestFit="1" customWidth="1"/>
    <col min="12705" max="12705" width="10.28515625" style="92" bestFit="1" customWidth="1"/>
    <col min="12706" max="12706" width="9.28515625" style="92" bestFit="1" customWidth="1"/>
    <col min="12707" max="12707" width="11.28515625" style="92" bestFit="1" customWidth="1"/>
    <col min="12708" max="12708" width="9.42578125" style="92" bestFit="1" customWidth="1"/>
    <col min="12709" max="12709" width="8.140625" style="92" bestFit="1" customWidth="1"/>
    <col min="12710" max="12710" width="10" style="92" bestFit="1" customWidth="1"/>
    <col min="12711" max="12711" width="10.28515625" style="92" bestFit="1" customWidth="1"/>
    <col min="12712" max="12712" width="8.7109375" style="92" customWidth="1"/>
    <col min="12713" max="12713" width="10.28515625" style="92" bestFit="1" customWidth="1"/>
    <col min="12714" max="12714" width="11.28515625" style="92" bestFit="1" customWidth="1"/>
    <col min="12715" max="12715" width="10.85546875" style="92" bestFit="1" customWidth="1"/>
    <col min="12716" max="12716" width="9.85546875" style="92" bestFit="1" customWidth="1"/>
    <col min="12717" max="12718" width="9.140625" style="92"/>
    <col min="12719" max="12719" width="9.85546875" style="92" bestFit="1" customWidth="1"/>
    <col min="12720" max="12723" width="9.140625" style="92"/>
    <col min="12724" max="12724" width="13.5703125" style="92" bestFit="1" customWidth="1"/>
    <col min="12725" max="12725" width="10.28515625" style="92" bestFit="1" customWidth="1"/>
    <col min="12726" max="12840" width="9.140625" style="92"/>
    <col min="12841" max="12841" width="3.7109375" style="92" customWidth="1"/>
    <col min="12842" max="12842" width="26.5703125" style="92" customWidth="1"/>
    <col min="12843" max="12844" width="13.7109375" style="92" customWidth="1"/>
    <col min="12845" max="12845" width="11.42578125" style="92" customWidth="1"/>
    <col min="12846" max="12846" width="13.42578125" style="92" customWidth="1"/>
    <col min="12847" max="12847" width="11.140625" style="92" customWidth="1"/>
    <col min="12848" max="12848" width="10.28515625" style="92" customWidth="1"/>
    <col min="12849" max="12849" width="9.42578125" style="92" customWidth="1"/>
    <col min="12850" max="12850" width="8.140625" style="92" customWidth="1"/>
    <col min="12851" max="12851" width="11.42578125" style="92" customWidth="1"/>
    <col min="12852" max="12852" width="7.7109375" style="92" customWidth="1"/>
    <col min="12853" max="12853" width="9" style="92" customWidth="1"/>
    <col min="12854" max="12855" width="9.140625" style="92" customWidth="1"/>
    <col min="12856" max="12860" width="9.140625" style="92"/>
    <col min="12861" max="12861" width="9" style="92" customWidth="1"/>
    <col min="12862" max="12862" width="9.140625" style="92"/>
    <col min="12863" max="12863" width="15.140625" style="92" customWidth="1"/>
    <col min="12864" max="12872" width="9.140625" style="92"/>
    <col min="12873" max="12873" width="10.5703125" style="92" customWidth="1"/>
    <col min="12874" max="12878" width="9.140625" style="92"/>
    <col min="12879" max="12879" width="9" style="92" bestFit="1" customWidth="1"/>
    <col min="12880" max="12880" width="12.140625" style="92" customWidth="1"/>
    <col min="12881" max="12881" width="13.28515625" style="92" customWidth="1"/>
    <col min="12882" max="12882" width="9.140625" style="92"/>
    <col min="12883" max="12883" width="13.140625" style="92" customWidth="1"/>
    <col min="12884" max="12884" width="11.5703125" style="92" customWidth="1"/>
    <col min="12885" max="12885" width="15.42578125" style="92" bestFit="1" customWidth="1"/>
    <col min="12886" max="12903" width="9.140625" style="92"/>
    <col min="12904" max="12906" width="11.140625" style="92" customWidth="1"/>
    <col min="12907" max="12907" width="14.85546875" style="92" bestFit="1" customWidth="1"/>
    <col min="12908" max="12913" width="14.85546875" style="92" customWidth="1"/>
    <col min="12914" max="12917" width="11.140625" style="92" customWidth="1"/>
    <col min="12918" max="12918" width="11" style="92" customWidth="1"/>
    <col min="12919" max="12919" width="13.28515625" style="92" customWidth="1"/>
    <col min="12920" max="12920" width="12.42578125" style="92" customWidth="1"/>
    <col min="12921" max="12929" width="14.85546875" style="92" customWidth="1"/>
    <col min="12930" max="12930" width="13.140625" style="92" customWidth="1"/>
    <col min="12931" max="12931" width="13.7109375" style="92" customWidth="1"/>
    <col min="12932" max="12934" width="13.28515625" style="92" customWidth="1"/>
    <col min="12935" max="12935" width="15.7109375" style="92" customWidth="1"/>
    <col min="12936" max="12936" width="9.140625" style="92"/>
    <col min="12937" max="12937" width="10.28515625" style="92" bestFit="1" customWidth="1"/>
    <col min="12938" max="12938" width="11.5703125" style="92" bestFit="1" customWidth="1"/>
    <col min="12939" max="12939" width="9.140625" style="92" customWidth="1"/>
    <col min="12940" max="12940" width="10.42578125" style="92" customWidth="1"/>
    <col min="12941" max="12942" width="15.85546875" style="92" customWidth="1"/>
    <col min="12943" max="12944" width="16.85546875" style="92" customWidth="1"/>
    <col min="12945" max="12945" width="14.42578125" style="92" customWidth="1"/>
    <col min="12946" max="12947" width="14.28515625" style="92" customWidth="1"/>
    <col min="12948" max="12948" width="14.7109375" style="92" customWidth="1"/>
    <col min="12949" max="12949" width="15.7109375" style="92" customWidth="1"/>
    <col min="12950" max="12950" width="9.140625" style="92"/>
    <col min="12951" max="12951" width="10.28515625" style="92" bestFit="1" customWidth="1"/>
    <col min="12952" max="12952" width="9.140625" style="92"/>
    <col min="12953" max="12953" width="11.5703125" style="92" bestFit="1" customWidth="1"/>
    <col min="12954" max="12954" width="9.28515625" style="92" bestFit="1" customWidth="1"/>
    <col min="12955" max="12955" width="9.140625" style="92"/>
    <col min="12956" max="12956" width="11.7109375" style="92" customWidth="1"/>
    <col min="12957" max="12957" width="10.28515625" style="92" bestFit="1" customWidth="1"/>
    <col min="12958" max="12958" width="9.140625" style="92"/>
    <col min="12959" max="12959" width="11" style="92" bestFit="1" customWidth="1"/>
    <col min="12960" max="12960" width="10" style="92" bestFit="1" customWidth="1"/>
    <col min="12961" max="12961" width="10.28515625" style="92" bestFit="1" customWidth="1"/>
    <col min="12962" max="12962" width="9.28515625" style="92" bestFit="1" customWidth="1"/>
    <col min="12963" max="12963" width="11.28515625" style="92" bestFit="1" customWidth="1"/>
    <col min="12964" max="12964" width="9.42578125" style="92" bestFit="1" customWidth="1"/>
    <col min="12965" max="12965" width="8.140625" style="92" bestFit="1" customWidth="1"/>
    <col min="12966" max="12966" width="10" style="92" bestFit="1" customWidth="1"/>
    <col min="12967" max="12967" width="10.28515625" style="92" bestFit="1" customWidth="1"/>
    <col min="12968" max="12968" width="8.7109375" style="92" customWidth="1"/>
    <col min="12969" max="12969" width="10.28515625" style="92" bestFit="1" customWidth="1"/>
    <col min="12970" max="12970" width="11.28515625" style="92" bestFit="1" customWidth="1"/>
    <col min="12971" max="12971" width="10.85546875" style="92" bestFit="1" customWidth="1"/>
    <col min="12972" max="12972" width="9.85546875" style="92" bestFit="1" customWidth="1"/>
    <col min="12973" max="12974" width="9.140625" style="92"/>
    <col min="12975" max="12975" width="9.85546875" style="92" bestFit="1" customWidth="1"/>
    <col min="12976" max="12979" width="9.140625" style="92"/>
    <col min="12980" max="12980" width="13.5703125" style="92" bestFit="1" customWidth="1"/>
    <col min="12981" max="12981" width="10.28515625" style="92" bestFit="1" customWidth="1"/>
    <col min="12982" max="13096" width="9.140625" style="92"/>
    <col min="13097" max="13097" width="3.7109375" style="92" customWidth="1"/>
    <col min="13098" max="13098" width="26.5703125" style="92" customWidth="1"/>
    <col min="13099" max="13100" width="13.7109375" style="92" customWidth="1"/>
    <col min="13101" max="13101" width="11.42578125" style="92" customWidth="1"/>
    <col min="13102" max="13102" width="13.42578125" style="92" customWidth="1"/>
    <col min="13103" max="13103" width="11.140625" style="92" customWidth="1"/>
    <col min="13104" max="13104" width="10.28515625" style="92" customWidth="1"/>
    <col min="13105" max="13105" width="9.42578125" style="92" customWidth="1"/>
    <col min="13106" max="13106" width="8.140625" style="92" customWidth="1"/>
    <col min="13107" max="13107" width="11.42578125" style="92" customWidth="1"/>
    <col min="13108" max="13108" width="7.7109375" style="92" customWidth="1"/>
    <col min="13109" max="13109" width="9" style="92" customWidth="1"/>
    <col min="13110" max="13111" width="9.140625" style="92" customWidth="1"/>
    <col min="13112" max="13116" width="9.140625" style="92"/>
    <col min="13117" max="13117" width="9" style="92" customWidth="1"/>
    <col min="13118" max="13118" width="9.140625" style="92"/>
    <col min="13119" max="13119" width="15.140625" style="92" customWidth="1"/>
    <col min="13120" max="13128" width="9.140625" style="92"/>
    <col min="13129" max="13129" width="10.5703125" style="92" customWidth="1"/>
    <col min="13130" max="13134" width="9.140625" style="92"/>
    <col min="13135" max="13135" width="9" style="92" bestFit="1" customWidth="1"/>
    <col min="13136" max="13136" width="12.140625" style="92" customWidth="1"/>
    <col min="13137" max="13137" width="13.28515625" style="92" customWidth="1"/>
    <col min="13138" max="13138" width="9.140625" style="92"/>
    <col min="13139" max="13139" width="13.140625" style="92" customWidth="1"/>
    <col min="13140" max="13140" width="11.5703125" style="92" customWidth="1"/>
    <col min="13141" max="13141" width="15.42578125" style="92" bestFit="1" customWidth="1"/>
    <col min="13142" max="13159" width="9.140625" style="92"/>
    <col min="13160" max="13162" width="11.140625" style="92" customWidth="1"/>
    <col min="13163" max="13163" width="14.85546875" style="92" bestFit="1" customWidth="1"/>
    <col min="13164" max="13169" width="14.85546875" style="92" customWidth="1"/>
    <col min="13170" max="13173" width="11.140625" style="92" customWidth="1"/>
    <col min="13174" max="13174" width="11" style="92" customWidth="1"/>
    <col min="13175" max="13175" width="13.28515625" style="92" customWidth="1"/>
    <col min="13176" max="13176" width="12.42578125" style="92" customWidth="1"/>
    <col min="13177" max="13185" width="14.85546875" style="92" customWidth="1"/>
    <col min="13186" max="13186" width="13.140625" style="92" customWidth="1"/>
    <col min="13187" max="13187" width="13.7109375" style="92" customWidth="1"/>
    <col min="13188" max="13190" width="13.28515625" style="92" customWidth="1"/>
    <col min="13191" max="13191" width="15.7109375" style="92" customWidth="1"/>
    <col min="13192" max="13192" width="9.140625" style="92"/>
    <col min="13193" max="13193" width="10.28515625" style="92" bestFit="1" customWidth="1"/>
    <col min="13194" max="13194" width="11.5703125" style="92" bestFit="1" customWidth="1"/>
    <col min="13195" max="13195" width="9.140625" style="92" customWidth="1"/>
    <col min="13196" max="13196" width="10.42578125" style="92" customWidth="1"/>
    <col min="13197" max="13198" width="15.85546875" style="92" customWidth="1"/>
    <col min="13199" max="13200" width="16.85546875" style="92" customWidth="1"/>
    <col min="13201" max="13201" width="14.42578125" style="92" customWidth="1"/>
    <col min="13202" max="13203" width="14.28515625" style="92" customWidth="1"/>
    <col min="13204" max="13204" width="14.7109375" style="92" customWidth="1"/>
    <col min="13205" max="13205" width="15.7109375" style="92" customWidth="1"/>
    <col min="13206" max="13206" width="9.140625" style="92"/>
    <col min="13207" max="13207" width="10.28515625" style="92" bestFit="1" customWidth="1"/>
    <col min="13208" max="13208" width="9.140625" style="92"/>
    <col min="13209" max="13209" width="11.5703125" style="92" bestFit="1" customWidth="1"/>
    <col min="13210" max="13210" width="9.28515625" style="92" bestFit="1" customWidth="1"/>
    <col min="13211" max="13211" width="9.140625" style="92"/>
    <col min="13212" max="13212" width="11.7109375" style="92" customWidth="1"/>
    <col min="13213" max="13213" width="10.28515625" style="92" bestFit="1" customWidth="1"/>
    <col min="13214" max="13214" width="9.140625" style="92"/>
    <col min="13215" max="13215" width="11" style="92" bestFit="1" customWidth="1"/>
    <col min="13216" max="13216" width="10" style="92" bestFit="1" customWidth="1"/>
    <col min="13217" max="13217" width="10.28515625" style="92" bestFit="1" customWidth="1"/>
    <col min="13218" max="13218" width="9.28515625" style="92" bestFit="1" customWidth="1"/>
    <col min="13219" max="13219" width="11.28515625" style="92" bestFit="1" customWidth="1"/>
    <col min="13220" max="13220" width="9.42578125" style="92" bestFit="1" customWidth="1"/>
    <col min="13221" max="13221" width="8.140625" style="92" bestFit="1" customWidth="1"/>
    <col min="13222" max="13222" width="10" style="92" bestFit="1" customWidth="1"/>
    <col min="13223" max="13223" width="10.28515625" style="92" bestFit="1" customWidth="1"/>
    <col min="13224" max="13224" width="8.7109375" style="92" customWidth="1"/>
    <col min="13225" max="13225" width="10.28515625" style="92" bestFit="1" customWidth="1"/>
    <col min="13226" max="13226" width="11.28515625" style="92" bestFit="1" customWidth="1"/>
    <col min="13227" max="13227" width="10.85546875" style="92" bestFit="1" customWidth="1"/>
    <col min="13228" max="13228" width="9.85546875" style="92" bestFit="1" customWidth="1"/>
    <col min="13229" max="13230" width="9.140625" style="92"/>
    <col min="13231" max="13231" width="9.85546875" style="92" bestFit="1" customWidth="1"/>
    <col min="13232" max="13235" width="9.140625" style="92"/>
    <col min="13236" max="13236" width="13.5703125" style="92" bestFit="1" customWidth="1"/>
    <col min="13237" max="13237" width="10.28515625" style="92" bestFit="1" customWidth="1"/>
    <col min="13238" max="13352" width="9.140625" style="92"/>
    <col min="13353" max="13353" width="3.7109375" style="92" customWidth="1"/>
    <col min="13354" max="13354" width="26.5703125" style="92" customWidth="1"/>
    <col min="13355" max="13356" width="13.7109375" style="92" customWidth="1"/>
    <col min="13357" max="13357" width="11.42578125" style="92" customWidth="1"/>
    <col min="13358" max="13358" width="13.42578125" style="92" customWidth="1"/>
    <col min="13359" max="13359" width="11.140625" style="92" customWidth="1"/>
    <col min="13360" max="13360" width="10.28515625" style="92" customWidth="1"/>
    <col min="13361" max="13361" width="9.42578125" style="92" customWidth="1"/>
    <col min="13362" max="13362" width="8.140625" style="92" customWidth="1"/>
    <col min="13363" max="13363" width="11.42578125" style="92" customWidth="1"/>
    <col min="13364" max="13364" width="7.7109375" style="92" customWidth="1"/>
    <col min="13365" max="13365" width="9" style="92" customWidth="1"/>
    <col min="13366" max="13367" width="9.140625" style="92" customWidth="1"/>
    <col min="13368" max="13372" width="9.140625" style="92"/>
    <col min="13373" max="13373" width="9" style="92" customWidth="1"/>
    <col min="13374" max="13374" width="9.140625" style="92"/>
    <col min="13375" max="13375" width="15.140625" style="92" customWidth="1"/>
    <col min="13376" max="13384" width="9.140625" style="92"/>
    <col min="13385" max="13385" width="10.5703125" style="92" customWidth="1"/>
    <col min="13386" max="13390" width="9.140625" style="92"/>
    <col min="13391" max="13391" width="9" style="92" bestFit="1" customWidth="1"/>
    <col min="13392" max="13392" width="12.140625" style="92" customWidth="1"/>
    <col min="13393" max="13393" width="13.28515625" style="92" customWidth="1"/>
    <col min="13394" max="13394" width="9.140625" style="92"/>
    <col min="13395" max="13395" width="13.140625" style="92" customWidth="1"/>
    <col min="13396" max="13396" width="11.5703125" style="92" customWidth="1"/>
    <col min="13397" max="13397" width="15.42578125" style="92" bestFit="1" customWidth="1"/>
    <col min="13398" max="13415" width="9.140625" style="92"/>
    <col min="13416" max="13418" width="11.140625" style="92" customWidth="1"/>
    <col min="13419" max="13419" width="14.85546875" style="92" bestFit="1" customWidth="1"/>
    <col min="13420" max="13425" width="14.85546875" style="92" customWidth="1"/>
    <col min="13426" max="13429" width="11.140625" style="92" customWidth="1"/>
    <col min="13430" max="13430" width="11" style="92" customWidth="1"/>
    <col min="13431" max="13431" width="13.28515625" style="92" customWidth="1"/>
    <col min="13432" max="13432" width="12.42578125" style="92" customWidth="1"/>
    <col min="13433" max="13441" width="14.85546875" style="92" customWidth="1"/>
    <col min="13442" max="13442" width="13.140625" style="92" customWidth="1"/>
    <col min="13443" max="13443" width="13.7109375" style="92" customWidth="1"/>
    <col min="13444" max="13446" width="13.28515625" style="92" customWidth="1"/>
    <col min="13447" max="13447" width="15.7109375" style="92" customWidth="1"/>
    <col min="13448" max="13448" width="9.140625" style="92"/>
    <col min="13449" max="13449" width="10.28515625" style="92" bestFit="1" customWidth="1"/>
    <col min="13450" max="13450" width="11.5703125" style="92" bestFit="1" customWidth="1"/>
    <col min="13451" max="13451" width="9.140625" style="92" customWidth="1"/>
    <col min="13452" max="13452" width="10.42578125" style="92" customWidth="1"/>
    <col min="13453" max="13454" width="15.85546875" style="92" customWidth="1"/>
    <col min="13455" max="13456" width="16.85546875" style="92" customWidth="1"/>
    <col min="13457" max="13457" width="14.42578125" style="92" customWidth="1"/>
    <col min="13458" max="13459" width="14.28515625" style="92" customWidth="1"/>
    <col min="13460" max="13460" width="14.7109375" style="92" customWidth="1"/>
    <col min="13461" max="13461" width="15.7109375" style="92" customWidth="1"/>
    <col min="13462" max="13462" width="9.140625" style="92"/>
    <col min="13463" max="13463" width="10.28515625" style="92" bestFit="1" customWidth="1"/>
    <col min="13464" max="13464" width="9.140625" style="92"/>
    <col min="13465" max="13465" width="11.5703125" style="92" bestFit="1" customWidth="1"/>
    <col min="13466" max="13466" width="9.28515625" style="92" bestFit="1" customWidth="1"/>
    <col min="13467" max="13467" width="9.140625" style="92"/>
    <col min="13468" max="13468" width="11.7109375" style="92" customWidth="1"/>
    <col min="13469" max="13469" width="10.28515625" style="92" bestFit="1" customWidth="1"/>
    <col min="13470" max="13470" width="9.140625" style="92"/>
    <col min="13471" max="13471" width="11" style="92" bestFit="1" customWidth="1"/>
    <col min="13472" max="13472" width="10" style="92" bestFit="1" customWidth="1"/>
    <col min="13473" max="13473" width="10.28515625" style="92" bestFit="1" customWidth="1"/>
    <col min="13474" max="13474" width="9.28515625" style="92" bestFit="1" customWidth="1"/>
    <col min="13475" max="13475" width="11.28515625" style="92" bestFit="1" customWidth="1"/>
    <col min="13476" max="13476" width="9.42578125" style="92" bestFit="1" customWidth="1"/>
    <col min="13477" max="13477" width="8.140625" style="92" bestFit="1" customWidth="1"/>
    <col min="13478" max="13478" width="10" style="92" bestFit="1" customWidth="1"/>
    <col min="13479" max="13479" width="10.28515625" style="92" bestFit="1" customWidth="1"/>
    <col min="13480" max="13480" width="8.7109375" style="92" customWidth="1"/>
    <col min="13481" max="13481" width="10.28515625" style="92" bestFit="1" customWidth="1"/>
    <col min="13482" max="13482" width="11.28515625" style="92" bestFit="1" customWidth="1"/>
    <col min="13483" max="13483" width="10.85546875" style="92" bestFit="1" customWidth="1"/>
    <col min="13484" max="13484" width="9.85546875" style="92" bestFit="1" customWidth="1"/>
    <col min="13485" max="13486" width="9.140625" style="92"/>
    <col min="13487" max="13487" width="9.85546875" style="92" bestFit="1" customWidth="1"/>
    <col min="13488" max="13491" width="9.140625" style="92"/>
    <col min="13492" max="13492" width="13.5703125" style="92" bestFit="1" customWidth="1"/>
    <col min="13493" max="13493" width="10.28515625" style="92" bestFit="1" customWidth="1"/>
    <col min="13494" max="13608" width="9.140625" style="92"/>
    <col min="13609" max="13609" width="3.7109375" style="92" customWidth="1"/>
    <col min="13610" max="13610" width="26.5703125" style="92" customWidth="1"/>
    <col min="13611" max="13612" width="13.7109375" style="92" customWidth="1"/>
    <col min="13613" max="13613" width="11.42578125" style="92" customWidth="1"/>
    <col min="13614" max="13614" width="13.42578125" style="92" customWidth="1"/>
    <col min="13615" max="13615" width="11.140625" style="92" customWidth="1"/>
    <col min="13616" max="13616" width="10.28515625" style="92" customWidth="1"/>
    <col min="13617" max="13617" width="9.42578125" style="92" customWidth="1"/>
    <col min="13618" max="13618" width="8.140625" style="92" customWidth="1"/>
    <col min="13619" max="13619" width="11.42578125" style="92" customWidth="1"/>
    <col min="13620" max="13620" width="7.7109375" style="92" customWidth="1"/>
    <col min="13621" max="13621" width="9" style="92" customWidth="1"/>
    <col min="13622" max="13623" width="9.140625" style="92" customWidth="1"/>
    <col min="13624" max="13628" width="9.140625" style="92"/>
    <col min="13629" max="13629" width="9" style="92" customWidth="1"/>
    <col min="13630" max="13630" width="9.140625" style="92"/>
    <col min="13631" max="13631" width="15.140625" style="92" customWidth="1"/>
    <col min="13632" max="13640" width="9.140625" style="92"/>
    <col min="13641" max="13641" width="10.5703125" style="92" customWidth="1"/>
    <col min="13642" max="13646" width="9.140625" style="92"/>
    <col min="13647" max="13647" width="9" style="92" bestFit="1" customWidth="1"/>
    <col min="13648" max="13648" width="12.140625" style="92" customWidth="1"/>
    <col min="13649" max="13649" width="13.28515625" style="92" customWidth="1"/>
    <col min="13650" max="13650" width="9.140625" style="92"/>
    <col min="13651" max="13651" width="13.140625" style="92" customWidth="1"/>
    <col min="13652" max="13652" width="11.5703125" style="92" customWidth="1"/>
    <col min="13653" max="13653" width="15.42578125" style="92" bestFit="1" customWidth="1"/>
    <col min="13654" max="13671" width="9.140625" style="92"/>
    <col min="13672" max="13674" width="11.140625" style="92" customWidth="1"/>
    <col min="13675" max="13675" width="14.85546875" style="92" bestFit="1" customWidth="1"/>
    <col min="13676" max="13681" width="14.85546875" style="92" customWidth="1"/>
    <col min="13682" max="13685" width="11.140625" style="92" customWidth="1"/>
    <col min="13686" max="13686" width="11" style="92" customWidth="1"/>
    <col min="13687" max="13687" width="13.28515625" style="92" customWidth="1"/>
    <col min="13688" max="13688" width="12.42578125" style="92" customWidth="1"/>
    <col min="13689" max="13697" width="14.85546875" style="92" customWidth="1"/>
    <col min="13698" max="13698" width="13.140625" style="92" customWidth="1"/>
    <col min="13699" max="13699" width="13.7109375" style="92" customWidth="1"/>
    <col min="13700" max="13702" width="13.28515625" style="92" customWidth="1"/>
    <col min="13703" max="13703" width="15.7109375" style="92" customWidth="1"/>
    <col min="13704" max="13704" width="9.140625" style="92"/>
    <col min="13705" max="13705" width="10.28515625" style="92" bestFit="1" customWidth="1"/>
    <col min="13706" max="13706" width="11.5703125" style="92" bestFit="1" customWidth="1"/>
    <col min="13707" max="13707" width="9.140625" style="92" customWidth="1"/>
    <col min="13708" max="13708" width="10.42578125" style="92" customWidth="1"/>
    <col min="13709" max="13710" width="15.85546875" style="92" customWidth="1"/>
    <col min="13711" max="13712" width="16.85546875" style="92" customWidth="1"/>
    <col min="13713" max="13713" width="14.42578125" style="92" customWidth="1"/>
    <col min="13714" max="13715" width="14.28515625" style="92" customWidth="1"/>
    <col min="13716" max="13716" width="14.7109375" style="92" customWidth="1"/>
    <col min="13717" max="13717" width="15.7109375" style="92" customWidth="1"/>
    <col min="13718" max="13718" width="9.140625" style="92"/>
    <col min="13719" max="13719" width="10.28515625" style="92" bestFit="1" customWidth="1"/>
    <col min="13720" max="13720" width="9.140625" style="92"/>
    <col min="13721" max="13721" width="11.5703125" style="92" bestFit="1" customWidth="1"/>
    <col min="13722" max="13722" width="9.28515625" style="92" bestFit="1" customWidth="1"/>
    <col min="13723" max="13723" width="9.140625" style="92"/>
    <col min="13724" max="13724" width="11.7109375" style="92" customWidth="1"/>
    <col min="13725" max="13725" width="10.28515625" style="92" bestFit="1" customWidth="1"/>
    <col min="13726" max="13726" width="9.140625" style="92"/>
    <col min="13727" max="13727" width="11" style="92" bestFit="1" customWidth="1"/>
    <col min="13728" max="13728" width="10" style="92" bestFit="1" customWidth="1"/>
    <col min="13729" max="13729" width="10.28515625" style="92" bestFit="1" customWidth="1"/>
    <col min="13730" max="13730" width="9.28515625" style="92" bestFit="1" customWidth="1"/>
    <col min="13731" max="13731" width="11.28515625" style="92" bestFit="1" customWidth="1"/>
    <col min="13732" max="13732" width="9.42578125" style="92" bestFit="1" customWidth="1"/>
    <col min="13733" max="13733" width="8.140625" style="92" bestFit="1" customWidth="1"/>
    <col min="13734" max="13734" width="10" style="92" bestFit="1" customWidth="1"/>
    <col min="13735" max="13735" width="10.28515625" style="92" bestFit="1" customWidth="1"/>
    <col min="13736" max="13736" width="8.7109375" style="92" customWidth="1"/>
    <col min="13737" max="13737" width="10.28515625" style="92" bestFit="1" customWidth="1"/>
    <col min="13738" max="13738" width="11.28515625" style="92" bestFit="1" customWidth="1"/>
    <col min="13739" max="13739" width="10.85546875" style="92" bestFit="1" customWidth="1"/>
    <col min="13740" max="13740" width="9.85546875" style="92" bestFit="1" customWidth="1"/>
    <col min="13741" max="13742" width="9.140625" style="92"/>
    <col min="13743" max="13743" width="9.85546875" style="92" bestFit="1" customWidth="1"/>
    <col min="13744" max="13747" width="9.140625" style="92"/>
    <col min="13748" max="13748" width="13.5703125" style="92" bestFit="1" customWidth="1"/>
    <col min="13749" max="13749" width="10.28515625" style="92" bestFit="1" customWidth="1"/>
    <col min="13750" max="13864" width="9.140625" style="92"/>
    <col min="13865" max="13865" width="3.7109375" style="92" customWidth="1"/>
    <col min="13866" max="13866" width="26.5703125" style="92" customWidth="1"/>
    <col min="13867" max="13868" width="13.7109375" style="92" customWidth="1"/>
    <col min="13869" max="13869" width="11.42578125" style="92" customWidth="1"/>
    <col min="13870" max="13870" width="13.42578125" style="92" customWidth="1"/>
    <col min="13871" max="13871" width="11.140625" style="92" customWidth="1"/>
    <col min="13872" max="13872" width="10.28515625" style="92" customWidth="1"/>
    <col min="13873" max="13873" width="9.42578125" style="92" customWidth="1"/>
    <col min="13874" max="13874" width="8.140625" style="92" customWidth="1"/>
    <col min="13875" max="13875" width="11.42578125" style="92" customWidth="1"/>
    <col min="13876" max="13876" width="7.7109375" style="92" customWidth="1"/>
    <col min="13877" max="13877" width="9" style="92" customWidth="1"/>
    <col min="13878" max="13879" width="9.140625" style="92" customWidth="1"/>
    <col min="13880" max="13884" width="9.140625" style="92"/>
    <col min="13885" max="13885" width="9" style="92" customWidth="1"/>
    <col min="13886" max="13886" width="9.140625" style="92"/>
    <col min="13887" max="13887" width="15.140625" style="92" customWidth="1"/>
    <col min="13888" max="13896" width="9.140625" style="92"/>
    <col min="13897" max="13897" width="10.5703125" style="92" customWidth="1"/>
    <col min="13898" max="13902" width="9.140625" style="92"/>
    <col min="13903" max="13903" width="9" style="92" bestFit="1" customWidth="1"/>
    <col min="13904" max="13904" width="12.140625" style="92" customWidth="1"/>
    <col min="13905" max="13905" width="13.28515625" style="92" customWidth="1"/>
    <col min="13906" max="13906" width="9.140625" style="92"/>
    <col min="13907" max="13907" width="13.140625" style="92" customWidth="1"/>
    <col min="13908" max="13908" width="11.5703125" style="92" customWidth="1"/>
    <col min="13909" max="13909" width="15.42578125" style="92" bestFit="1" customWidth="1"/>
    <col min="13910" max="13927" width="9.140625" style="92"/>
    <col min="13928" max="13930" width="11.140625" style="92" customWidth="1"/>
    <col min="13931" max="13931" width="14.85546875" style="92" bestFit="1" customWidth="1"/>
    <col min="13932" max="13937" width="14.85546875" style="92" customWidth="1"/>
    <col min="13938" max="13941" width="11.140625" style="92" customWidth="1"/>
    <col min="13942" max="13942" width="11" style="92" customWidth="1"/>
    <col min="13943" max="13943" width="13.28515625" style="92" customWidth="1"/>
    <col min="13944" max="13944" width="12.42578125" style="92" customWidth="1"/>
    <col min="13945" max="13953" width="14.85546875" style="92" customWidth="1"/>
    <col min="13954" max="13954" width="13.140625" style="92" customWidth="1"/>
    <col min="13955" max="13955" width="13.7109375" style="92" customWidth="1"/>
    <col min="13956" max="13958" width="13.28515625" style="92" customWidth="1"/>
    <col min="13959" max="13959" width="15.7109375" style="92" customWidth="1"/>
    <col min="13960" max="13960" width="9.140625" style="92"/>
    <col min="13961" max="13961" width="10.28515625" style="92" bestFit="1" customWidth="1"/>
    <col min="13962" max="13962" width="11.5703125" style="92" bestFit="1" customWidth="1"/>
    <col min="13963" max="13963" width="9.140625" style="92" customWidth="1"/>
    <col min="13964" max="13964" width="10.42578125" style="92" customWidth="1"/>
    <col min="13965" max="13966" width="15.85546875" style="92" customWidth="1"/>
    <col min="13967" max="13968" width="16.85546875" style="92" customWidth="1"/>
    <col min="13969" max="13969" width="14.42578125" style="92" customWidth="1"/>
    <col min="13970" max="13971" width="14.28515625" style="92" customWidth="1"/>
    <col min="13972" max="13972" width="14.7109375" style="92" customWidth="1"/>
    <col min="13973" max="13973" width="15.7109375" style="92" customWidth="1"/>
    <col min="13974" max="13974" width="9.140625" style="92"/>
    <col min="13975" max="13975" width="10.28515625" style="92" bestFit="1" customWidth="1"/>
    <col min="13976" max="13976" width="9.140625" style="92"/>
    <col min="13977" max="13977" width="11.5703125" style="92" bestFit="1" customWidth="1"/>
    <col min="13978" max="13978" width="9.28515625" style="92" bestFit="1" customWidth="1"/>
    <col min="13979" max="13979" width="9.140625" style="92"/>
    <col min="13980" max="13980" width="11.7109375" style="92" customWidth="1"/>
    <col min="13981" max="13981" width="10.28515625" style="92" bestFit="1" customWidth="1"/>
    <col min="13982" max="13982" width="9.140625" style="92"/>
    <col min="13983" max="13983" width="11" style="92" bestFit="1" customWidth="1"/>
    <col min="13984" max="13984" width="10" style="92" bestFit="1" customWidth="1"/>
    <col min="13985" max="13985" width="10.28515625" style="92" bestFit="1" customWidth="1"/>
    <col min="13986" max="13986" width="9.28515625" style="92" bestFit="1" customWidth="1"/>
    <col min="13987" max="13987" width="11.28515625" style="92" bestFit="1" customWidth="1"/>
    <col min="13988" max="13988" width="9.42578125" style="92" bestFit="1" customWidth="1"/>
    <col min="13989" max="13989" width="8.140625" style="92" bestFit="1" customWidth="1"/>
    <col min="13990" max="13990" width="10" style="92" bestFit="1" customWidth="1"/>
    <col min="13991" max="13991" width="10.28515625" style="92" bestFit="1" customWidth="1"/>
    <col min="13992" max="13992" width="8.7109375" style="92" customWidth="1"/>
    <col min="13993" max="13993" width="10.28515625" style="92" bestFit="1" customWidth="1"/>
    <col min="13994" max="13994" width="11.28515625" style="92" bestFit="1" customWidth="1"/>
    <col min="13995" max="13995" width="10.85546875" style="92" bestFit="1" customWidth="1"/>
    <col min="13996" max="13996" width="9.85546875" style="92" bestFit="1" customWidth="1"/>
    <col min="13997" max="13998" width="9.140625" style="92"/>
    <col min="13999" max="13999" width="9.85546875" style="92" bestFit="1" customWidth="1"/>
    <col min="14000" max="14003" width="9.140625" style="92"/>
    <col min="14004" max="14004" width="13.5703125" style="92" bestFit="1" customWidth="1"/>
    <col min="14005" max="14005" width="10.28515625" style="92" bestFit="1" customWidth="1"/>
    <col min="14006" max="14120" width="9.140625" style="92"/>
    <col min="14121" max="14121" width="3.7109375" style="92" customWidth="1"/>
    <col min="14122" max="14122" width="26.5703125" style="92" customWidth="1"/>
    <col min="14123" max="14124" width="13.7109375" style="92" customWidth="1"/>
    <col min="14125" max="14125" width="11.42578125" style="92" customWidth="1"/>
    <col min="14126" max="14126" width="13.42578125" style="92" customWidth="1"/>
    <col min="14127" max="14127" width="11.140625" style="92" customWidth="1"/>
    <col min="14128" max="14128" width="10.28515625" style="92" customWidth="1"/>
    <col min="14129" max="14129" width="9.42578125" style="92" customWidth="1"/>
    <col min="14130" max="14130" width="8.140625" style="92" customWidth="1"/>
    <col min="14131" max="14131" width="11.42578125" style="92" customWidth="1"/>
    <col min="14132" max="14132" width="7.7109375" style="92" customWidth="1"/>
    <col min="14133" max="14133" width="9" style="92" customWidth="1"/>
    <col min="14134" max="14135" width="9.140625" style="92" customWidth="1"/>
    <col min="14136" max="14140" width="9.140625" style="92"/>
    <col min="14141" max="14141" width="9" style="92" customWidth="1"/>
    <col min="14142" max="14142" width="9.140625" style="92"/>
    <col min="14143" max="14143" width="15.140625" style="92" customWidth="1"/>
    <col min="14144" max="14152" width="9.140625" style="92"/>
    <col min="14153" max="14153" width="10.5703125" style="92" customWidth="1"/>
    <col min="14154" max="14158" width="9.140625" style="92"/>
    <col min="14159" max="14159" width="9" style="92" bestFit="1" customWidth="1"/>
    <col min="14160" max="14160" width="12.140625" style="92" customWidth="1"/>
    <col min="14161" max="14161" width="13.28515625" style="92" customWidth="1"/>
    <col min="14162" max="14162" width="9.140625" style="92"/>
    <col min="14163" max="14163" width="13.140625" style="92" customWidth="1"/>
    <col min="14164" max="14164" width="11.5703125" style="92" customWidth="1"/>
    <col min="14165" max="14165" width="15.42578125" style="92" bestFit="1" customWidth="1"/>
    <col min="14166" max="14183" width="9.140625" style="92"/>
    <col min="14184" max="14186" width="11.140625" style="92" customWidth="1"/>
    <col min="14187" max="14187" width="14.85546875" style="92" bestFit="1" customWidth="1"/>
    <col min="14188" max="14193" width="14.85546875" style="92" customWidth="1"/>
    <col min="14194" max="14197" width="11.140625" style="92" customWidth="1"/>
    <col min="14198" max="14198" width="11" style="92" customWidth="1"/>
    <col min="14199" max="14199" width="13.28515625" style="92" customWidth="1"/>
    <col min="14200" max="14200" width="12.42578125" style="92" customWidth="1"/>
    <col min="14201" max="14209" width="14.85546875" style="92" customWidth="1"/>
    <col min="14210" max="14210" width="13.140625" style="92" customWidth="1"/>
    <col min="14211" max="14211" width="13.7109375" style="92" customWidth="1"/>
    <col min="14212" max="14214" width="13.28515625" style="92" customWidth="1"/>
    <col min="14215" max="14215" width="15.7109375" style="92" customWidth="1"/>
    <col min="14216" max="14216" width="9.140625" style="92"/>
    <col min="14217" max="14217" width="10.28515625" style="92" bestFit="1" customWidth="1"/>
    <col min="14218" max="14218" width="11.5703125" style="92" bestFit="1" customWidth="1"/>
    <col min="14219" max="14219" width="9.140625" style="92" customWidth="1"/>
    <col min="14220" max="14220" width="10.42578125" style="92" customWidth="1"/>
    <col min="14221" max="14222" width="15.85546875" style="92" customWidth="1"/>
    <col min="14223" max="14224" width="16.85546875" style="92" customWidth="1"/>
    <col min="14225" max="14225" width="14.42578125" style="92" customWidth="1"/>
    <col min="14226" max="14227" width="14.28515625" style="92" customWidth="1"/>
    <col min="14228" max="14228" width="14.7109375" style="92" customWidth="1"/>
    <col min="14229" max="14229" width="15.7109375" style="92" customWidth="1"/>
    <col min="14230" max="14230" width="9.140625" style="92"/>
    <col min="14231" max="14231" width="10.28515625" style="92" bestFit="1" customWidth="1"/>
    <col min="14232" max="14232" width="9.140625" style="92"/>
    <col min="14233" max="14233" width="11.5703125" style="92" bestFit="1" customWidth="1"/>
    <col min="14234" max="14234" width="9.28515625" style="92" bestFit="1" customWidth="1"/>
    <col min="14235" max="14235" width="9.140625" style="92"/>
    <col min="14236" max="14236" width="11.7109375" style="92" customWidth="1"/>
    <col min="14237" max="14237" width="10.28515625" style="92" bestFit="1" customWidth="1"/>
    <col min="14238" max="14238" width="9.140625" style="92"/>
    <col min="14239" max="14239" width="11" style="92" bestFit="1" customWidth="1"/>
    <col min="14240" max="14240" width="10" style="92" bestFit="1" customWidth="1"/>
    <col min="14241" max="14241" width="10.28515625" style="92" bestFit="1" customWidth="1"/>
    <col min="14242" max="14242" width="9.28515625" style="92" bestFit="1" customWidth="1"/>
    <col min="14243" max="14243" width="11.28515625" style="92" bestFit="1" customWidth="1"/>
    <col min="14244" max="14244" width="9.42578125" style="92" bestFit="1" customWidth="1"/>
    <col min="14245" max="14245" width="8.140625" style="92" bestFit="1" customWidth="1"/>
    <col min="14246" max="14246" width="10" style="92" bestFit="1" customWidth="1"/>
    <col min="14247" max="14247" width="10.28515625" style="92" bestFit="1" customWidth="1"/>
    <col min="14248" max="14248" width="8.7109375" style="92" customWidth="1"/>
    <col min="14249" max="14249" width="10.28515625" style="92" bestFit="1" customWidth="1"/>
    <col min="14250" max="14250" width="11.28515625" style="92" bestFit="1" customWidth="1"/>
    <col min="14251" max="14251" width="10.85546875" style="92" bestFit="1" customWidth="1"/>
    <col min="14252" max="14252" width="9.85546875" style="92" bestFit="1" customWidth="1"/>
    <col min="14253" max="14254" width="9.140625" style="92"/>
    <col min="14255" max="14255" width="9.85546875" style="92" bestFit="1" customWidth="1"/>
    <col min="14256" max="14259" width="9.140625" style="92"/>
    <col min="14260" max="14260" width="13.5703125" style="92" bestFit="1" customWidth="1"/>
    <col min="14261" max="14261" width="10.28515625" style="92" bestFit="1" customWidth="1"/>
    <col min="14262" max="14376" width="9.140625" style="92"/>
    <col min="14377" max="14377" width="3.7109375" style="92" customWidth="1"/>
    <col min="14378" max="14378" width="26.5703125" style="92" customWidth="1"/>
    <col min="14379" max="14380" width="13.7109375" style="92" customWidth="1"/>
    <col min="14381" max="14381" width="11.42578125" style="92" customWidth="1"/>
    <col min="14382" max="14382" width="13.42578125" style="92" customWidth="1"/>
    <col min="14383" max="14383" width="11.140625" style="92" customWidth="1"/>
    <col min="14384" max="14384" width="10.28515625" style="92" customWidth="1"/>
    <col min="14385" max="14385" width="9.42578125" style="92" customWidth="1"/>
    <col min="14386" max="14386" width="8.140625" style="92" customWidth="1"/>
    <col min="14387" max="14387" width="11.42578125" style="92" customWidth="1"/>
    <col min="14388" max="14388" width="7.7109375" style="92" customWidth="1"/>
    <col min="14389" max="14389" width="9" style="92" customWidth="1"/>
    <col min="14390" max="14391" width="9.140625" style="92" customWidth="1"/>
    <col min="14392" max="14396" width="9.140625" style="92"/>
    <col min="14397" max="14397" width="9" style="92" customWidth="1"/>
    <col min="14398" max="14398" width="9.140625" style="92"/>
    <col min="14399" max="14399" width="15.140625" style="92" customWidth="1"/>
    <col min="14400" max="14408" width="9.140625" style="92"/>
    <col min="14409" max="14409" width="10.5703125" style="92" customWidth="1"/>
    <col min="14410" max="14414" width="9.140625" style="92"/>
    <col min="14415" max="14415" width="9" style="92" bestFit="1" customWidth="1"/>
    <col min="14416" max="14416" width="12.140625" style="92" customWidth="1"/>
    <col min="14417" max="14417" width="13.28515625" style="92" customWidth="1"/>
    <col min="14418" max="14418" width="9.140625" style="92"/>
    <col min="14419" max="14419" width="13.140625" style="92" customWidth="1"/>
    <col min="14420" max="14420" width="11.5703125" style="92" customWidth="1"/>
    <col min="14421" max="14421" width="15.42578125" style="92" bestFit="1" customWidth="1"/>
    <col min="14422" max="14439" width="9.140625" style="92"/>
    <col min="14440" max="14442" width="11.140625" style="92" customWidth="1"/>
    <col min="14443" max="14443" width="14.85546875" style="92" bestFit="1" customWidth="1"/>
    <col min="14444" max="14449" width="14.85546875" style="92" customWidth="1"/>
    <col min="14450" max="14453" width="11.140625" style="92" customWidth="1"/>
    <col min="14454" max="14454" width="11" style="92" customWidth="1"/>
    <col min="14455" max="14455" width="13.28515625" style="92" customWidth="1"/>
    <col min="14456" max="14456" width="12.42578125" style="92" customWidth="1"/>
    <col min="14457" max="14465" width="14.85546875" style="92" customWidth="1"/>
    <col min="14466" max="14466" width="13.140625" style="92" customWidth="1"/>
    <col min="14467" max="14467" width="13.7109375" style="92" customWidth="1"/>
    <col min="14468" max="14470" width="13.28515625" style="92" customWidth="1"/>
    <col min="14471" max="14471" width="15.7109375" style="92" customWidth="1"/>
    <col min="14472" max="14472" width="9.140625" style="92"/>
    <col min="14473" max="14473" width="10.28515625" style="92" bestFit="1" customWidth="1"/>
    <col min="14474" max="14474" width="11.5703125" style="92" bestFit="1" customWidth="1"/>
    <col min="14475" max="14475" width="9.140625" style="92" customWidth="1"/>
    <col min="14476" max="14476" width="10.42578125" style="92" customWidth="1"/>
    <col min="14477" max="14478" width="15.85546875" style="92" customWidth="1"/>
    <col min="14479" max="14480" width="16.85546875" style="92" customWidth="1"/>
    <col min="14481" max="14481" width="14.42578125" style="92" customWidth="1"/>
    <col min="14482" max="14483" width="14.28515625" style="92" customWidth="1"/>
    <col min="14484" max="14484" width="14.7109375" style="92" customWidth="1"/>
    <col min="14485" max="14485" width="15.7109375" style="92" customWidth="1"/>
    <col min="14486" max="14486" width="9.140625" style="92"/>
    <col min="14487" max="14487" width="10.28515625" style="92" bestFit="1" customWidth="1"/>
    <col min="14488" max="14488" width="9.140625" style="92"/>
    <col min="14489" max="14489" width="11.5703125" style="92" bestFit="1" customWidth="1"/>
    <col min="14490" max="14490" width="9.28515625" style="92" bestFit="1" customWidth="1"/>
    <col min="14491" max="14491" width="9.140625" style="92"/>
    <col min="14492" max="14492" width="11.7109375" style="92" customWidth="1"/>
    <col min="14493" max="14493" width="10.28515625" style="92" bestFit="1" customWidth="1"/>
    <col min="14494" max="14494" width="9.140625" style="92"/>
    <col min="14495" max="14495" width="11" style="92" bestFit="1" customWidth="1"/>
    <col min="14496" max="14496" width="10" style="92" bestFit="1" customWidth="1"/>
    <col min="14497" max="14497" width="10.28515625" style="92" bestFit="1" customWidth="1"/>
    <col min="14498" max="14498" width="9.28515625" style="92" bestFit="1" customWidth="1"/>
    <col min="14499" max="14499" width="11.28515625" style="92" bestFit="1" customWidth="1"/>
    <col min="14500" max="14500" width="9.42578125" style="92" bestFit="1" customWidth="1"/>
    <col min="14501" max="14501" width="8.140625" style="92" bestFit="1" customWidth="1"/>
    <col min="14502" max="14502" width="10" style="92" bestFit="1" customWidth="1"/>
    <col min="14503" max="14503" width="10.28515625" style="92" bestFit="1" customWidth="1"/>
    <col min="14504" max="14504" width="8.7109375" style="92" customWidth="1"/>
    <col min="14505" max="14505" width="10.28515625" style="92" bestFit="1" customWidth="1"/>
    <col min="14506" max="14506" width="11.28515625" style="92" bestFit="1" customWidth="1"/>
    <col min="14507" max="14507" width="10.85546875" style="92" bestFit="1" customWidth="1"/>
    <col min="14508" max="14508" width="9.85546875" style="92" bestFit="1" customWidth="1"/>
    <col min="14509" max="14510" width="9.140625" style="92"/>
    <col min="14511" max="14511" width="9.85546875" style="92" bestFit="1" customWidth="1"/>
    <col min="14512" max="14515" width="9.140625" style="92"/>
    <col min="14516" max="14516" width="13.5703125" style="92" bestFit="1" customWidth="1"/>
    <col min="14517" max="14517" width="10.28515625" style="92" bestFit="1" customWidth="1"/>
    <col min="14518" max="14632" width="9.140625" style="92"/>
    <col min="14633" max="14633" width="3.7109375" style="92" customWidth="1"/>
    <col min="14634" max="14634" width="26.5703125" style="92" customWidth="1"/>
    <col min="14635" max="14636" width="13.7109375" style="92" customWidth="1"/>
    <col min="14637" max="14637" width="11.42578125" style="92" customWidth="1"/>
    <col min="14638" max="14638" width="13.42578125" style="92" customWidth="1"/>
    <col min="14639" max="14639" width="11.140625" style="92" customWidth="1"/>
    <col min="14640" max="14640" width="10.28515625" style="92" customWidth="1"/>
    <col min="14641" max="14641" width="9.42578125" style="92" customWidth="1"/>
    <col min="14642" max="14642" width="8.140625" style="92" customWidth="1"/>
    <col min="14643" max="14643" width="11.42578125" style="92" customWidth="1"/>
    <col min="14644" max="14644" width="7.7109375" style="92" customWidth="1"/>
    <col min="14645" max="14645" width="9" style="92" customWidth="1"/>
    <col min="14646" max="14647" width="9.140625" style="92" customWidth="1"/>
    <col min="14648" max="14652" width="9.140625" style="92"/>
    <col min="14653" max="14653" width="9" style="92" customWidth="1"/>
    <col min="14654" max="14654" width="9.140625" style="92"/>
    <col min="14655" max="14655" width="15.140625" style="92" customWidth="1"/>
    <col min="14656" max="14664" width="9.140625" style="92"/>
    <col min="14665" max="14665" width="10.5703125" style="92" customWidth="1"/>
    <col min="14666" max="14670" width="9.140625" style="92"/>
    <col min="14671" max="14671" width="9" style="92" bestFit="1" customWidth="1"/>
    <col min="14672" max="14672" width="12.140625" style="92" customWidth="1"/>
    <col min="14673" max="14673" width="13.28515625" style="92" customWidth="1"/>
    <col min="14674" max="14674" width="9.140625" style="92"/>
    <col min="14675" max="14675" width="13.140625" style="92" customWidth="1"/>
    <col min="14676" max="14676" width="11.5703125" style="92" customWidth="1"/>
    <col min="14677" max="14677" width="15.42578125" style="92" bestFit="1" customWidth="1"/>
    <col min="14678" max="14695" width="9.140625" style="92"/>
    <col min="14696" max="14698" width="11.140625" style="92" customWidth="1"/>
    <col min="14699" max="14699" width="14.85546875" style="92" bestFit="1" customWidth="1"/>
    <col min="14700" max="14705" width="14.85546875" style="92" customWidth="1"/>
    <col min="14706" max="14709" width="11.140625" style="92" customWidth="1"/>
    <col min="14710" max="14710" width="11" style="92" customWidth="1"/>
    <col min="14711" max="14711" width="13.28515625" style="92" customWidth="1"/>
    <col min="14712" max="14712" width="12.42578125" style="92" customWidth="1"/>
    <col min="14713" max="14721" width="14.85546875" style="92" customWidth="1"/>
    <col min="14722" max="14722" width="13.140625" style="92" customWidth="1"/>
    <col min="14723" max="14723" width="13.7109375" style="92" customWidth="1"/>
    <col min="14724" max="14726" width="13.28515625" style="92" customWidth="1"/>
    <col min="14727" max="14727" width="15.7109375" style="92" customWidth="1"/>
    <col min="14728" max="14728" width="9.140625" style="92"/>
    <col min="14729" max="14729" width="10.28515625" style="92" bestFit="1" customWidth="1"/>
    <col min="14730" max="14730" width="11.5703125" style="92" bestFit="1" customWidth="1"/>
    <col min="14731" max="14731" width="9.140625" style="92" customWidth="1"/>
    <col min="14732" max="14732" width="10.42578125" style="92" customWidth="1"/>
    <col min="14733" max="14734" width="15.85546875" style="92" customWidth="1"/>
    <col min="14735" max="14736" width="16.85546875" style="92" customWidth="1"/>
    <col min="14737" max="14737" width="14.42578125" style="92" customWidth="1"/>
    <col min="14738" max="14739" width="14.28515625" style="92" customWidth="1"/>
    <col min="14740" max="14740" width="14.7109375" style="92" customWidth="1"/>
    <col min="14741" max="14741" width="15.7109375" style="92" customWidth="1"/>
    <col min="14742" max="14742" width="9.140625" style="92"/>
    <col min="14743" max="14743" width="10.28515625" style="92" bestFit="1" customWidth="1"/>
    <col min="14744" max="14744" width="9.140625" style="92"/>
    <col min="14745" max="14745" width="11.5703125" style="92" bestFit="1" customWidth="1"/>
    <col min="14746" max="14746" width="9.28515625" style="92" bestFit="1" customWidth="1"/>
    <col min="14747" max="14747" width="9.140625" style="92"/>
    <col min="14748" max="14748" width="11.7109375" style="92" customWidth="1"/>
    <col min="14749" max="14749" width="10.28515625" style="92" bestFit="1" customWidth="1"/>
    <col min="14750" max="14750" width="9.140625" style="92"/>
    <col min="14751" max="14751" width="11" style="92" bestFit="1" customWidth="1"/>
    <col min="14752" max="14752" width="10" style="92" bestFit="1" customWidth="1"/>
    <col min="14753" max="14753" width="10.28515625" style="92" bestFit="1" customWidth="1"/>
    <col min="14754" max="14754" width="9.28515625" style="92" bestFit="1" customWidth="1"/>
    <col min="14755" max="14755" width="11.28515625" style="92" bestFit="1" customWidth="1"/>
    <col min="14756" max="14756" width="9.42578125" style="92" bestFit="1" customWidth="1"/>
    <col min="14757" max="14757" width="8.140625" style="92" bestFit="1" customWidth="1"/>
    <col min="14758" max="14758" width="10" style="92" bestFit="1" customWidth="1"/>
    <col min="14759" max="14759" width="10.28515625" style="92" bestFit="1" customWidth="1"/>
    <col min="14760" max="14760" width="8.7109375" style="92" customWidth="1"/>
    <col min="14761" max="14761" width="10.28515625" style="92" bestFit="1" customWidth="1"/>
    <col min="14762" max="14762" width="11.28515625" style="92" bestFit="1" customWidth="1"/>
    <col min="14763" max="14763" width="10.85546875" style="92" bestFit="1" customWidth="1"/>
    <col min="14764" max="14764" width="9.85546875" style="92" bestFit="1" customWidth="1"/>
    <col min="14765" max="14766" width="9.140625" style="92"/>
    <col min="14767" max="14767" width="9.85546875" style="92" bestFit="1" customWidth="1"/>
    <col min="14768" max="14771" width="9.140625" style="92"/>
    <col min="14772" max="14772" width="13.5703125" style="92" bestFit="1" customWidth="1"/>
    <col min="14773" max="14773" width="10.28515625" style="92" bestFit="1" customWidth="1"/>
    <col min="14774" max="14888" width="9.140625" style="92"/>
    <col min="14889" max="14889" width="3.7109375" style="92" customWidth="1"/>
    <col min="14890" max="14890" width="26.5703125" style="92" customWidth="1"/>
    <col min="14891" max="14892" width="13.7109375" style="92" customWidth="1"/>
    <col min="14893" max="14893" width="11.42578125" style="92" customWidth="1"/>
    <col min="14894" max="14894" width="13.42578125" style="92" customWidth="1"/>
    <col min="14895" max="14895" width="11.140625" style="92" customWidth="1"/>
    <col min="14896" max="14896" width="10.28515625" style="92" customWidth="1"/>
    <col min="14897" max="14897" width="9.42578125" style="92" customWidth="1"/>
    <col min="14898" max="14898" width="8.140625" style="92" customWidth="1"/>
    <col min="14899" max="14899" width="11.42578125" style="92" customWidth="1"/>
    <col min="14900" max="14900" width="7.7109375" style="92" customWidth="1"/>
    <col min="14901" max="14901" width="9" style="92" customWidth="1"/>
    <col min="14902" max="14903" width="9.140625" style="92" customWidth="1"/>
    <col min="14904" max="14908" width="9.140625" style="92"/>
    <col min="14909" max="14909" width="9" style="92" customWidth="1"/>
    <col min="14910" max="14910" width="9.140625" style="92"/>
    <col min="14911" max="14911" width="15.140625" style="92" customWidth="1"/>
    <col min="14912" max="14920" width="9.140625" style="92"/>
    <col min="14921" max="14921" width="10.5703125" style="92" customWidth="1"/>
    <col min="14922" max="14926" width="9.140625" style="92"/>
    <col min="14927" max="14927" width="9" style="92" bestFit="1" customWidth="1"/>
    <col min="14928" max="14928" width="12.140625" style="92" customWidth="1"/>
    <col min="14929" max="14929" width="13.28515625" style="92" customWidth="1"/>
    <col min="14930" max="14930" width="9.140625" style="92"/>
    <col min="14931" max="14931" width="13.140625" style="92" customWidth="1"/>
    <col min="14932" max="14932" width="11.5703125" style="92" customWidth="1"/>
    <col min="14933" max="14933" width="15.42578125" style="92" bestFit="1" customWidth="1"/>
    <col min="14934" max="14951" width="9.140625" style="92"/>
    <col min="14952" max="14954" width="11.140625" style="92" customWidth="1"/>
    <col min="14955" max="14955" width="14.85546875" style="92" bestFit="1" customWidth="1"/>
    <col min="14956" max="14961" width="14.85546875" style="92" customWidth="1"/>
    <col min="14962" max="14965" width="11.140625" style="92" customWidth="1"/>
    <col min="14966" max="14966" width="11" style="92" customWidth="1"/>
    <col min="14967" max="14967" width="13.28515625" style="92" customWidth="1"/>
    <col min="14968" max="14968" width="12.42578125" style="92" customWidth="1"/>
    <col min="14969" max="14977" width="14.85546875" style="92" customWidth="1"/>
    <col min="14978" max="14978" width="13.140625" style="92" customWidth="1"/>
    <col min="14979" max="14979" width="13.7109375" style="92" customWidth="1"/>
    <col min="14980" max="14982" width="13.28515625" style="92" customWidth="1"/>
    <col min="14983" max="14983" width="15.7109375" style="92" customWidth="1"/>
    <col min="14984" max="14984" width="9.140625" style="92"/>
    <col min="14985" max="14985" width="10.28515625" style="92" bestFit="1" customWidth="1"/>
    <col min="14986" max="14986" width="11.5703125" style="92" bestFit="1" customWidth="1"/>
    <col min="14987" max="14987" width="9.140625" style="92" customWidth="1"/>
    <col min="14988" max="14988" width="10.42578125" style="92" customWidth="1"/>
    <col min="14989" max="14990" width="15.85546875" style="92" customWidth="1"/>
    <col min="14991" max="14992" width="16.85546875" style="92" customWidth="1"/>
    <col min="14993" max="14993" width="14.42578125" style="92" customWidth="1"/>
    <col min="14994" max="14995" width="14.28515625" style="92" customWidth="1"/>
    <col min="14996" max="14996" width="14.7109375" style="92" customWidth="1"/>
    <col min="14997" max="14997" width="15.7109375" style="92" customWidth="1"/>
    <col min="14998" max="14998" width="9.140625" style="92"/>
    <col min="14999" max="14999" width="10.28515625" style="92" bestFit="1" customWidth="1"/>
    <col min="15000" max="15000" width="9.140625" style="92"/>
    <col min="15001" max="15001" width="11.5703125" style="92" bestFit="1" customWidth="1"/>
    <col min="15002" max="15002" width="9.28515625" style="92" bestFit="1" customWidth="1"/>
    <col min="15003" max="15003" width="9.140625" style="92"/>
    <col min="15004" max="15004" width="11.7109375" style="92" customWidth="1"/>
    <col min="15005" max="15005" width="10.28515625" style="92" bestFit="1" customWidth="1"/>
    <col min="15006" max="15006" width="9.140625" style="92"/>
    <col min="15007" max="15007" width="11" style="92" bestFit="1" customWidth="1"/>
    <col min="15008" max="15008" width="10" style="92" bestFit="1" customWidth="1"/>
    <col min="15009" max="15009" width="10.28515625" style="92" bestFit="1" customWidth="1"/>
    <col min="15010" max="15010" width="9.28515625" style="92" bestFit="1" customWidth="1"/>
    <col min="15011" max="15011" width="11.28515625" style="92" bestFit="1" customWidth="1"/>
    <col min="15012" max="15012" width="9.42578125" style="92" bestFit="1" customWidth="1"/>
    <col min="15013" max="15013" width="8.140625" style="92" bestFit="1" customWidth="1"/>
    <col min="15014" max="15014" width="10" style="92" bestFit="1" customWidth="1"/>
    <col min="15015" max="15015" width="10.28515625" style="92" bestFit="1" customWidth="1"/>
    <col min="15016" max="15016" width="8.7109375" style="92" customWidth="1"/>
    <col min="15017" max="15017" width="10.28515625" style="92" bestFit="1" customWidth="1"/>
    <col min="15018" max="15018" width="11.28515625" style="92" bestFit="1" customWidth="1"/>
    <col min="15019" max="15019" width="10.85546875" style="92" bestFit="1" customWidth="1"/>
    <col min="15020" max="15020" width="9.85546875" style="92" bestFit="1" customWidth="1"/>
    <col min="15021" max="15022" width="9.140625" style="92"/>
    <col min="15023" max="15023" width="9.85546875" style="92" bestFit="1" customWidth="1"/>
    <col min="15024" max="15027" width="9.140625" style="92"/>
    <col min="15028" max="15028" width="13.5703125" style="92" bestFit="1" customWidth="1"/>
    <col min="15029" max="15029" width="10.28515625" style="92" bestFit="1" customWidth="1"/>
    <col min="15030" max="15144" width="9.140625" style="92"/>
    <col min="15145" max="15145" width="3.7109375" style="92" customWidth="1"/>
    <col min="15146" max="15146" width="26.5703125" style="92" customWidth="1"/>
    <col min="15147" max="15148" width="13.7109375" style="92" customWidth="1"/>
    <col min="15149" max="15149" width="11.42578125" style="92" customWidth="1"/>
    <col min="15150" max="15150" width="13.42578125" style="92" customWidth="1"/>
    <col min="15151" max="15151" width="11.140625" style="92" customWidth="1"/>
    <col min="15152" max="15152" width="10.28515625" style="92" customWidth="1"/>
    <col min="15153" max="15153" width="9.42578125" style="92" customWidth="1"/>
    <col min="15154" max="15154" width="8.140625" style="92" customWidth="1"/>
    <col min="15155" max="15155" width="11.42578125" style="92" customWidth="1"/>
    <col min="15156" max="15156" width="7.7109375" style="92" customWidth="1"/>
    <col min="15157" max="15157" width="9" style="92" customWidth="1"/>
    <col min="15158" max="15159" width="9.140625" style="92" customWidth="1"/>
    <col min="15160" max="15164" width="9.140625" style="92"/>
    <col min="15165" max="15165" width="9" style="92" customWidth="1"/>
    <col min="15166" max="15166" width="9.140625" style="92"/>
    <col min="15167" max="15167" width="15.140625" style="92" customWidth="1"/>
    <col min="15168" max="15176" width="9.140625" style="92"/>
    <col min="15177" max="15177" width="10.5703125" style="92" customWidth="1"/>
    <col min="15178" max="15182" width="9.140625" style="92"/>
    <col min="15183" max="15183" width="9" style="92" bestFit="1" customWidth="1"/>
    <col min="15184" max="15184" width="12.140625" style="92" customWidth="1"/>
    <col min="15185" max="15185" width="13.28515625" style="92" customWidth="1"/>
    <col min="15186" max="15186" width="9.140625" style="92"/>
    <col min="15187" max="15187" width="13.140625" style="92" customWidth="1"/>
    <col min="15188" max="15188" width="11.5703125" style="92" customWidth="1"/>
    <col min="15189" max="15189" width="15.42578125" style="92" bestFit="1" customWidth="1"/>
    <col min="15190" max="15207" width="9.140625" style="92"/>
    <col min="15208" max="15210" width="11.140625" style="92" customWidth="1"/>
    <col min="15211" max="15211" width="14.85546875" style="92" bestFit="1" customWidth="1"/>
    <col min="15212" max="15217" width="14.85546875" style="92" customWidth="1"/>
    <col min="15218" max="15221" width="11.140625" style="92" customWidth="1"/>
    <col min="15222" max="15222" width="11" style="92" customWidth="1"/>
    <col min="15223" max="15223" width="13.28515625" style="92" customWidth="1"/>
    <col min="15224" max="15224" width="12.42578125" style="92" customWidth="1"/>
    <col min="15225" max="15233" width="14.85546875" style="92" customWidth="1"/>
    <col min="15234" max="15234" width="13.140625" style="92" customWidth="1"/>
    <col min="15235" max="15235" width="13.7109375" style="92" customWidth="1"/>
    <col min="15236" max="15238" width="13.28515625" style="92" customWidth="1"/>
    <col min="15239" max="15239" width="15.7109375" style="92" customWidth="1"/>
    <col min="15240" max="15240" width="9.140625" style="92"/>
    <col min="15241" max="15241" width="10.28515625" style="92" bestFit="1" customWidth="1"/>
    <col min="15242" max="15242" width="11.5703125" style="92" bestFit="1" customWidth="1"/>
    <col min="15243" max="15243" width="9.140625" style="92" customWidth="1"/>
    <col min="15244" max="15244" width="10.42578125" style="92" customWidth="1"/>
    <col min="15245" max="15246" width="15.85546875" style="92" customWidth="1"/>
    <col min="15247" max="15248" width="16.85546875" style="92" customWidth="1"/>
    <col min="15249" max="15249" width="14.42578125" style="92" customWidth="1"/>
    <col min="15250" max="15251" width="14.28515625" style="92" customWidth="1"/>
    <col min="15252" max="15252" width="14.7109375" style="92" customWidth="1"/>
    <col min="15253" max="15253" width="15.7109375" style="92" customWidth="1"/>
    <col min="15254" max="15254" width="9.140625" style="92"/>
    <col min="15255" max="15255" width="10.28515625" style="92" bestFit="1" customWidth="1"/>
    <col min="15256" max="15256" width="9.140625" style="92"/>
    <col min="15257" max="15257" width="11.5703125" style="92" bestFit="1" customWidth="1"/>
    <col min="15258" max="15258" width="9.28515625" style="92" bestFit="1" customWidth="1"/>
    <col min="15259" max="15259" width="9.140625" style="92"/>
    <col min="15260" max="15260" width="11.7109375" style="92" customWidth="1"/>
    <col min="15261" max="15261" width="10.28515625" style="92" bestFit="1" customWidth="1"/>
    <col min="15262" max="15262" width="9.140625" style="92"/>
    <col min="15263" max="15263" width="11" style="92" bestFit="1" customWidth="1"/>
    <col min="15264" max="15264" width="10" style="92" bestFit="1" customWidth="1"/>
    <col min="15265" max="15265" width="10.28515625" style="92" bestFit="1" customWidth="1"/>
    <col min="15266" max="15266" width="9.28515625" style="92" bestFit="1" customWidth="1"/>
    <col min="15267" max="15267" width="11.28515625" style="92" bestFit="1" customWidth="1"/>
    <col min="15268" max="15268" width="9.42578125" style="92" bestFit="1" customWidth="1"/>
    <col min="15269" max="15269" width="8.140625" style="92" bestFit="1" customWidth="1"/>
    <col min="15270" max="15270" width="10" style="92" bestFit="1" customWidth="1"/>
    <col min="15271" max="15271" width="10.28515625" style="92" bestFit="1" customWidth="1"/>
    <col min="15272" max="15272" width="8.7109375" style="92" customWidth="1"/>
    <col min="15273" max="15273" width="10.28515625" style="92" bestFit="1" customWidth="1"/>
    <col min="15274" max="15274" width="11.28515625" style="92" bestFit="1" customWidth="1"/>
    <col min="15275" max="15275" width="10.85546875" style="92" bestFit="1" customWidth="1"/>
    <col min="15276" max="15276" width="9.85546875" style="92" bestFit="1" customWidth="1"/>
    <col min="15277" max="15278" width="9.140625" style="92"/>
    <col min="15279" max="15279" width="9.85546875" style="92" bestFit="1" customWidth="1"/>
    <col min="15280" max="15283" width="9.140625" style="92"/>
    <col min="15284" max="15284" width="13.5703125" style="92" bestFit="1" customWidth="1"/>
    <col min="15285" max="15285" width="10.28515625" style="92" bestFit="1" customWidth="1"/>
    <col min="15286" max="15400" width="9.140625" style="92"/>
    <col min="15401" max="15401" width="3.7109375" style="92" customWidth="1"/>
    <col min="15402" max="15402" width="26.5703125" style="92" customWidth="1"/>
    <col min="15403" max="15404" width="13.7109375" style="92" customWidth="1"/>
    <col min="15405" max="15405" width="11.42578125" style="92" customWidth="1"/>
    <col min="15406" max="15406" width="13.42578125" style="92" customWidth="1"/>
    <col min="15407" max="15407" width="11.140625" style="92" customWidth="1"/>
    <col min="15408" max="15408" width="10.28515625" style="92" customWidth="1"/>
    <col min="15409" max="15409" width="9.42578125" style="92" customWidth="1"/>
    <col min="15410" max="15410" width="8.140625" style="92" customWidth="1"/>
    <col min="15411" max="15411" width="11.42578125" style="92" customWidth="1"/>
    <col min="15412" max="15412" width="7.7109375" style="92" customWidth="1"/>
    <col min="15413" max="15413" width="9" style="92" customWidth="1"/>
    <col min="15414" max="15415" width="9.140625" style="92" customWidth="1"/>
    <col min="15416" max="15420" width="9.140625" style="92"/>
    <col min="15421" max="15421" width="9" style="92" customWidth="1"/>
    <col min="15422" max="15422" width="9.140625" style="92"/>
    <col min="15423" max="15423" width="15.140625" style="92" customWidth="1"/>
    <col min="15424" max="15432" width="9.140625" style="92"/>
    <col min="15433" max="15433" width="10.5703125" style="92" customWidth="1"/>
    <col min="15434" max="15438" width="9.140625" style="92"/>
    <col min="15439" max="15439" width="9" style="92" bestFit="1" customWidth="1"/>
    <col min="15440" max="15440" width="12.140625" style="92" customWidth="1"/>
    <col min="15441" max="15441" width="13.28515625" style="92" customWidth="1"/>
    <col min="15442" max="15442" width="9.140625" style="92"/>
    <col min="15443" max="15443" width="13.140625" style="92" customWidth="1"/>
    <col min="15444" max="15444" width="11.5703125" style="92" customWidth="1"/>
    <col min="15445" max="15445" width="15.42578125" style="92" bestFit="1" customWidth="1"/>
    <col min="15446" max="15463" width="9.140625" style="92"/>
    <col min="15464" max="15466" width="11.140625" style="92" customWidth="1"/>
    <col min="15467" max="15467" width="14.85546875" style="92" bestFit="1" customWidth="1"/>
    <col min="15468" max="15473" width="14.85546875" style="92" customWidth="1"/>
    <col min="15474" max="15477" width="11.140625" style="92" customWidth="1"/>
    <col min="15478" max="15478" width="11" style="92" customWidth="1"/>
    <col min="15479" max="15479" width="13.28515625" style="92" customWidth="1"/>
    <col min="15480" max="15480" width="12.42578125" style="92" customWidth="1"/>
    <col min="15481" max="15489" width="14.85546875" style="92" customWidth="1"/>
    <col min="15490" max="15490" width="13.140625" style="92" customWidth="1"/>
    <col min="15491" max="15491" width="13.7109375" style="92" customWidth="1"/>
    <col min="15492" max="15494" width="13.28515625" style="92" customWidth="1"/>
    <col min="15495" max="15495" width="15.7109375" style="92" customWidth="1"/>
    <col min="15496" max="15496" width="9.140625" style="92"/>
    <col min="15497" max="15497" width="10.28515625" style="92" bestFit="1" customWidth="1"/>
    <col min="15498" max="15498" width="11.5703125" style="92" bestFit="1" customWidth="1"/>
    <col min="15499" max="15499" width="9.140625" style="92" customWidth="1"/>
    <col min="15500" max="15500" width="10.42578125" style="92" customWidth="1"/>
    <col min="15501" max="15502" width="15.85546875" style="92" customWidth="1"/>
    <col min="15503" max="15504" width="16.85546875" style="92" customWidth="1"/>
    <col min="15505" max="15505" width="14.42578125" style="92" customWidth="1"/>
    <col min="15506" max="15507" width="14.28515625" style="92" customWidth="1"/>
    <col min="15508" max="15508" width="14.7109375" style="92" customWidth="1"/>
    <col min="15509" max="15509" width="15.7109375" style="92" customWidth="1"/>
    <col min="15510" max="15510" width="9.140625" style="92"/>
    <col min="15511" max="15511" width="10.28515625" style="92" bestFit="1" customWidth="1"/>
    <col min="15512" max="15512" width="9.140625" style="92"/>
    <col min="15513" max="15513" width="11.5703125" style="92" bestFit="1" customWidth="1"/>
    <col min="15514" max="15514" width="9.28515625" style="92" bestFit="1" customWidth="1"/>
    <col min="15515" max="15515" width="9.140625" style="92"/>
    <col min="15516" max="15516" width="11.7109375" style="92" customWidth="1"/>
    <col min="15517" max="15517" width="10.28515625" style="92" bestFit="1" customWidth="1"/>
    <col min="15518" max="15518" width="9.140625" style="92"/>
    <col min="15519" max="15519" width="11" style="92" bestFit="1" customWidth="1"/>
    <col min="15520" max="15520" width="10" style="92" bestFit="1" customWidth="1"/>
    <col min="15521" max="15521" width="10.28515625" style="92" bestFit="1" customWidth="1"/>
    <col min="15522" max="15522" width="9.28515625" style="92" bestFit="1" customWidth="1"/>
    <col min="15523" max="15523" width="11.28515625" style="92" bestFit="1" customWidth="1"/>
    <col min="15524" max="15524" width="9.42578125" style="92" bestFit="1" customWidth="1"/>
    <col min="15525" max="15525" width="8.140625" style="92" bestFit="1" customWidth="1"/>
    <col min="15526" max="15526" width="10" style="92" bestFit="1" customWidth="1"/>
    <col min="15527" max="15527" width="10.28515625" style="92" bestFit="1" customWidth="1"/>
    <col min="15528" max="15528" width="8.7109375" style="92" customWidth="1"/>
    <col min="15529" max="15529" width="10.28515625" style="92" bestFit="1" customWidth="1"/>
    <col min="15530" max="15530" width="11.28515625" style="92" bestFit="1" customWidth="1"/>
    <col min="15531" max="15531" width="10.85546875" style="92" bestFit="1" customWidth="1"/>
    <col min="15532" max="15532" width="9.85546875" style="92" bestFit="1" customWidth="1"/>
    <col min="15533" max="15534" width="9.140625" style="92"/>
    <col min="15535" max="15535" width="9.85546875" style="92" bestFit="1" customWidth="1"/>
    <col min="15536" max="15539" width="9.140625" style="92"/>
    <col min="15540" max="15540" width="13.5703125" style="92" bestFit="1" customWidth="1"/>
    <col min="15541" max="15541" width="10.28515625" style="92" bestFit="1" customWidth="1"/>
    <col min="15542" max="15656" width="9.140625" style="92"/>
    <col min="15657" max="15657" width="3.7109375" style="92" customWidth="1"/>
    <col min="15658" max="15658" width="26.5703125" style="92" customWidth="1"/>
    <col min="15659" max="15660" width="13.7109375" style="92" customWidth="1"/>
    <col min="15661" max="15661" width="11.42578125" style="92" customWidth="1"/>
    <col min="15662" max="15662" width="13.42578125" style="92" customWidth="1"/>
    <col min="15663" max="15663" width="11.140625" style="92" customWidth="1"/>
    <col min="15664" max="15664" width="10.28515625" style="92" customWidth="1"/>
    <col min="15665" max="15665" width="9.42578125" style="92" customWidth="1"/>
    <col min="15666" max="15666" width="8.140625" style="92" customWidth="1"/>
    <col min="15667" max="15667" width="11.42578125" style="92" customWidth="1"/>
    <col min="15668" max="15668" width="7.7109375" style="92" customWidth="1"/>
    <col min="15669" max="15669" width="9" style="92" customWidth="1"/>
    <col min="15670" max="15671" width="9.140625" style="92" customWidth="1"/>
    <col min="15672" max="15676" width="9.140625" style="92"/>
    <col min="15677" max="15677" width="9" style="92" customWidth="1"/>
    <col min="15678" max="15678" width="9.140625" style="92"/>
    <col min="15679" max="15679" width="15.140625" style="92" customWidth="1"/>
    <col min="15680" max="15688" width="9.140625" style="92"/>
    <col min="15689" max="15689" width="10.5703125" style="92" customWidth="1"/>
    <col min="15690" max="15694" width="9.140625" style="92"/>
    <col min="15695" max="15695" width="9" style="92" bestFit="1" customWidth="1"/>
    <col min="15696" max="15696" width="12.140625" style="92" customWidth="1"/>
    <col min="15697" max="15697" width="13.28515625" style="92" customWidth="1"/>
    <col min="15698" max="15698" width="9.140625" style="92"/>
    <col min="15699" max="15699" width="13.140625" style="92" customWidth="1"/>
    <col min="15700" max="15700" width="11.5703125" style="92" customWidth="1"/>
    <col min="15701" max="15701" width="15.42578125" style="92" bestFit="1" customWidth="1"/>
    <col min="15702" max="15719" width="9.140625" style="92"/>
    <col min="15720" max="15722" width="11.140625" style="92" customWidth="1"/>
    <col min="15723" max="15723" width="14.85546875" style="92" bestFit="1" customWidth="1"/>
    <col min="15724" max="15729" width="14.85546875" style="92" customWidth="1"/>
    <col min="15730" max="15733" width="11.140625" style="92" customWidth="1"/>
    <col min="15734" max="15734" width="11" style="92" customWidth="1"/>
    <col min="15735" max="15735" width="13.28515625" style="92" customWidth="1"/>
    <col min="15736" max="15736" width="12.42578125" style="92" customWidth="1"/>
    <col min="15737" max="15745" width="14.85546875" style="92" customWidth="1"/>
    <col min="15746" max="15746" width="13.140625" style="92" customWidth="1"/>
    <col min="15747" max="15747" width="13.7109375" style="92" customWidth="1"/>
    <col min="15748" max="15750" width="13.28515625" style="92" customWidth="1"/>
    <col min="15751" max="15751" width="15.7109375" style="92" customWidth="1"/>
    <col min="15752" max="15752" width="9.140625" style="92"/>
    <col min="15753" max="15753" width="10.28515625" style="92" bestFit="1" customWidth="1"/>
    <col min="15754" max="15754" width="11.5703125" style="92" bestFit="1" customWidth="1"/>
    <col min="15755" max="15755" width="9.140625" style="92" customWidth="1"/>
    <col min="15756" max="15756" width="10.42578125" style="92" customWidth="1"/>
    <col min="15757" max="15758" width="15.85546875" style="92" customWidth="1"/>
    <col min="15759" max="15760" width="16.85546875" style="92" customWidth="1"/>
    <col min="15761" max="15761" width="14.42578125" style="92" customWidth="1"/>
    <col min="15762" max="15763" width="14.28515625" style="92" customWidth="1"/>
    <col min="15764" max="15764" width="14.7109375" style="92" customWidth="1"/>
    <col min="15765" max="15765" width="15.7109375" style="92" customWidth="1"/>
    <col min="15766" max="15766" width="9.140625" style="92"/>
    <col min="15767" max="15767" width="10.28515625" style="92" bestFit="1" customWidth="1"/>
    <col min="15768" max="15768" width="9.140625" style="92"/>
    <col min="15769" max="15769" width="11.5703125" style="92" bestFit="1" customWidth="1"/>
    <col min="15770" max="15770" width="9.28515625" style="92" bestFit="1" customWidth="1"/>
    <col min="15771" max="15771" width="9.140625" style="92"/>
    <col min="15772" max="15772" width="11.7109375" style="92" customWidth="1"/>
    <col min="15773" max="15773" width="10.28515625" style="92" bestFit="1" customWidth="1"/>
    <col min="15774" max="15774" width="9.140625" style="92"/>
    <col min="15775" max="15775" width="11" style="92" bestFit="1" customWidth="1"/>
    <col min="15776" max="15776" width="10" style="92" bestFit="1" customWidth="1"/>
    <col min="15777" max="15777" width="10.28515625" style="92" bestFit="1" customWidth="1"/>
    <col min="15778" max="15778" width="9.28515625" style="92" bestFit="1" customWidth="1"/>
    <col min="15779" max="15779" width="11.28515625" style="92" bestFit="1" customWidth="1"/>
    <col min="15780" max="15780" width="9.42578125" style="92" bestFit="1" customWidth="1"/>
    <col min="15781" max="15781" width="8.140625" style="92" bestFit="1" customWidth="1"/>
    <col min="15782" max="15782" width="10" style="92" bestFit="1" customWidth="1"/>
    <col min="15783" max="15783" width="10.28515625" style="92" bestFit="1" customWidth="1"/>
    <col min="15784" max="15784" width="8.7109375" style="92" customWidth="1"/>
    <col min="15785" max="15785" width="10.28515625" style="92" bestFit="1" customWidth="1"/>
    <col min="15786" max="15786" width="11.28515625" style="92" bestFit="1" customWidth="1"/>
    <col min="15787" max="15787" width="10.85546875" style="92" bestFit="1" customWidth="1"/>
    <col min="15788" max="15788" width="9.85546875" style="92" bestFit="1" customWidth="1"/>
    <col min="15789" max="15790" width="9.140625" style="92"/>
    <col min="15791" max="15791" width="9.85546875" style="92" bestFit="1" customWidth="1"/>
    <col min="15792" max="15795" width="9.140625" style="92"/>
    <col min="15796" max="15796" width="13.5703125" style="92" bestFit="1" customWidth="1"/>
    <col min="15797" max="15797" width="10.28515625" style="92" bestFit="1" customWidth="1"/>
    <col min="15798" max="15912" width="9.140625" style="92"/>
    <col min="15913" max="15913" width="3.7109375" style="92" customWidth="1"/>
    <col min="15914" max="15914" width="26.5703125" style="92" customWidth="1"/>
    <col min="15915" max="15916" width="13.7109375" style="92" customWidth="1"/>
    <col min="15917" max="15917" width="11.42578125" style="92" customWidth="1"/>
    <col min="15918" max="15918" width="13.42578125" style="92" customWidth="1"/>
    <col min="15919" max="15919" width="11.140625" style="92" customWidth="1"/>
    <col min="15920" max="15920" width="10.28515625" style="92" customWidth="1"/>
    <col min="15921" max="15921" width="9.42578125" style="92" customWidth="1"/>
    <col min="15922" max="15922" width="8.140625" style="92" customWidth="1"/>
    <col min="15923" max="15923" width="11.42578125" style="92" customWidth="1"/>
    <col min="15924" max="15924" width="7.7109375" style="92" customWidth="1"/>
    <col min="15925" max="15925" width="9" style="92" customWidth="1"/>
    <col min="15926" max="15927" width="9.140625" style="92" customWidth="1"/>
    <col min="15928" max="15932" width="9.140625" style="92"/>
    <col min="15933" max="15933" width="9" style="92" customWidth="1"/>
    <col min="15934" max="15934" width="9.140625" style="92"/>
    <col min="15935" max="15935" width="15.140625" style="92" customWidth="1"/>
    <col min="15936" max="15944" width="9.140625" style="92"/>
    <col min="15945" max="15945" width="10.5703125" style="92" customWidth="1"/>
    <col min="15946" max="15950" width="9.140625" style="92"/>
    <col min="15951" max="15951" width="9" style="92" bestFit="1" customWidth="1"/>
    <col min="15952" max="15952" width="12.140625" style="92" customWidth="1"/>
    <col min="15953" max="15953" width="13.28515625" style="92" customWidth="1"/>
    <col min="15954" max="15954" width="9.140625" style="92"/>
    <col min="15955" max="15955" width="13.140625" style="92" customWidth="1"/>
    <col min="15956" max="15956" width="11.5703125" style="92" customWidth="1"/>
    <col min="15957" max="15957" width="15.42578125" style="92" bestFit="1" customWidth="1"/>
    <col min="15958" max="15975" width="9.140625" style="92"/>
    <col min="15976" max="15978" width="11.140625" style="92" customWidth="1"/>
    <col min="15979" max="15979" width="14.85546875" style="92" bestFit="1" customWidth="1"/>
    <col min="15980" max="15985" width="14.85546875" style="92" customWidth="1"/>
    <col min="15986" max="15989" width="11.140625" style="92" customWidth="1"/>
    <col min="15990" max="15990" width="11" style="92" customWidth="1"/>
    <col min="15991" max="15991" width="13.28515625" style="92" customWidth="1"/>
    <col min="15992" max="15992" width="12.42578125" style="92" customWidth="1"/>
    <col min="15993" max="16001" width="14.85546875" style="92" customWidth="1"/>
    <col min="16002" max="16002" width="13.140625" style="92" customWidth="1"/>
    <col min="16003" max="16003" width="13.7109375" style="92" customWidth="1"/>
    <col min="16004" max="16006" width="13.28515625" style="92" customWidth="1"/>
    <col min="16007" max="16007" width="15.7109375" style="92" customWidth="1"/>
    <col min="16008" max="16008" width="9.140625" style="92"/>
    <col min="16009" max="16009" width="10.28515625" style="92" bestFit="1" customWidth="1"/>
    <col min="16010" max="16010" width="11.5703125" style="92" bestFit="1" customWidth="1"/>
    <col min="16011" max="16011" width="9.140625" style="92" customWidth="1"/>
    <col min="16012" max="16012" width="10.42578125" style="92" customWidth="1"/>
    <col min="16013" max="16014" width="15.85546875" style="92" customWidth="1"/>
    <col min="16015" max="16016" width="16.85546875" style="92" customWidth="1"/>
    <col min="16017" max="16017" width="14.42578125" style="92" customWidth="1"/>
    <col min="16018" max="16019" width="14.28515625" style="92" customWidth="1"/>
    <col min="16020" max="16020" width="14.7109375" style="92" customWidth="1"/>
    <col min="16021" max="16021" width="15.7109375" style="92" customWidth="1"/>
    <col min="16022" max="16022" width="9.140625" style="92"/>
    <col min="16023" max="16023" width="10.28515625" style="92" bestFit="1" customWidth="1"/>
    <col min="16024" max="16024" width="9.140625" style="92"/>
    <col min="16025" max="16025" width="11.5703125" style="92" bestFit="1" customWidth="1"/>
    <col min="16026" max="16026" width="9.28515625" style="92" bestFit="1" customWidth="1"/>
    <col min="16027" max="16027" width="9.140625" style="92"/>
    <col min="16028" max="16028" width="11.7109375" style="92" customWidth="1"/>
    <col min="16029" max="16029" width="10.28515625" style="92" bestFit="1" customWidth="1"/>
    <col min="16030" max="16030" width="9.140625" style="92"/>
    <col min="16031" max="16031" width="11" style="92" bestFit="1" customWidth="1"/>
    <col min="16032" max="16032" width="10" style="92" bestFit="1" customWidth="1"/>
    <col min="16033" max="16033" width="10.28515625" style="92" bestFit="1" customWidth="1"/>
    <col min="16034" max="16034" width="9.28515625" style="92" bestFit="1" customWidth="1"/>
    <col min="16035" max="16035" width="11.28515625" style="92" bestFit="1" customWidth="1"/>
    <col min="16036" max="16036" width="9.42578125" style="92" bestFit="1" customWidth="1"/>
    <col min="16037" max="16037" width="8.140625" style="92" bestFit="1" customWidth="1"/>
    <col min="16038" max="16038" width="10" style="92" bestFit="1" customWidth="1"/>
    <col min="16039" max="16039" width="10.28515625" style="92" bestFit="1" customWidth="1"/>
    <col min="16040" max="16040" width="8.7109375" style="92" customWidth="1"/>
    <col min="16041" max="16041" width="10.28515625" style="92" bestFit="1" customWidth="1"/>
    <col min="16042" max="16042" width="11.28515625" style="92" bestFit="1" customWidth="1"/>
    <col min="16043" max="16043" width="10.85546875" style="92" bestFit="1" customWidth="1"/>
    <col min="16044" max="16044" width="9.85546875" style="92" bestFit="1" customWidth="1"/>
    <col min="16045" max="16046" width="9.140625" style="92"/>
    <col min="16047" max="16047" width="9.85546875" style="92" bestFit="1" customWidth="1"/>
    <col min="16048" max="16051" width="9.140625" style="92"/>
    <col min="16052" max="16052" width="13.5703125" style="92" bestFit="1" customWidth="1"/>
    <col min="16053" max="16053" width="10.28515625" style="92" bestFit="1" customWidth="1"/>
    <col min="16054" max="16168" width="9.140625" style="92"/>
    <col min="16169" max="16169" width="3.7109375" style="92" customWidth="1"/>
    <col min="16170" max="16170" width="26.5703125" style="92" customWidth="1"/>
    <col min="16171" max="16172" width="13.7109375" style="92" customWidth="1"/>
    <col min="16173" max="16173" width="11.42578125" style="92" customWidth="1"/>
    <col min="16174" max="16174" width="13.42578125" style="92" customWidth="1"/>
    <col min="16175" max="16175" width="11.140625" style="92" customWidth="1"/>
    <col min="16176" max="16176" width="10.28515625" style="92" customWidth="1"/>
    <col min="16177" max="16177" width="9.42578125" style="92" customWidth="1"/>
    <col min="16178" max="16178" width="8.140625" style="92" customWidth="1"/>
    <col min="16179" max="16179" width="11.42578125" style="92" customWidth="1"/>
    <col min="16180" max="16180" width="7.7109375" style="92" customWidth="1"/>
    <col min="16181" max="16181" width="9" style="92" customWidth="1"/>
    <col min="16182" max="16183" width="9.140625" style="92" customWidth="1"/>
    <col min="16184" max="16188" width="9.140625" style="92"/>
    <col min="16189" max="16189" width="9" style="92" customWidth="1"/>
    <col min="16190" max="16190" width="9.140625" style="92"/>
    <col min="16191" max="16191" width="15.140625" style="92" customWidth="1"/>
    <col min="16192" max="16200" width="9.140625" style="92"/>
    <col min="16201" max="16201" width="10.5703125" style="92" customWidth="1"/>
    <col min="16202" max="16206" width="9.140625" style="92"/>
    <col min="16207" max="16207" width="9" style="92" bestFit="1" customWidth="1"/>
    <col min="16208" max="16208" width="12.140625" style="92" customWidth="1"/>
    <col min="16209" max="16209" width="13.28515625" style="92" customWidth="1"/>
    <col min="16210" max="16210" width="9.140625" style="92"/>
    <col min="16211" max="16211" width="13.140625" style="92" customWidth="1"/>
    <col min="16212" max="16212" width="11.5703125" style="92" customWidth="1"/>
    <col min="16213" max="16213" width="15.42578125" style="92" bestFit="1" customWidth="1"/>
    <col min="16214" max="16231" width="9.140625" style="92"/>
    <col min="16232" max="16234" width="11.140625" style="92" customWidth="1"/>
    <col min="16235" max="16235" width="14.85546875" style="92" bestFit="1" customWidth="1"/>
    <col min="16236" max="16241" width="14.85546875" style="92" customWidth="1"/>
    <col min="16242" max="16245" width="11.140625" style="92" customWidth="1"/>
    <col min="16246" max="16246" width="11" style="92" customWidth="1"/>
    <col min="16247" max="16247" width="13.28515625" style="92" customWidth="1"/>
    <col min="16248" max="16248" width="12.42578125" style="92" customWidth="1"/>
    <col min="16249" max="16257" width="14.85546875" style="92" customWidth="1"/>
    <col min="16258" max="16258" width="13.140625" style="92" customWidth="1"/>
    <col min="16259" max="16259" width="13.7109375" style="92" customWidth="1"/>
    <col min="16260" max="16262" width="13.28515625" style="92" customWidth="1"/>
    <col min="16263" max="16263" width="15.7109375" style="92" customWidth="1"/>
    <col min="16264" max="16264" width="9.140625" style="92"/>
    <col min="16265" max="16265" width="10.28515625" style="92" bestFit="1" customWidth="1"/>
    <col min="16266" max="16266" width="11.5703125" style="92" bestFit="1" customWidth="1"/>
    <col min="16267" max="16267" width="9.140625" style="92" customWidth="1"/>
    <col min="16268" max="16268" width="10.42578125" style="92" customWidth="1"/>
    <col min="16269" max="16270" width="15.85546875" style="92" customWidth="1"/>
    <col min="16271" max="16272" width="16.85546875" style="92" customWidth="1"/>
    <col min="16273" max="16273" width="14.42578125" style="92" customWidth="1"/>
    <col min="16274" max="16275" width="14.28515625" style="92" customWidth="1"/>
    <col min="16276" max="16276" width="14.7109375" style="92" customWidth="1"/>
    <col min="16277" max="16277" width="15.7109375" style="92" customWidth="1"/>
    <col min="16278" max="16278" width="9.140625" style="92"/>
    <col min="16279" max="16279" width="10.28515625" style="92" bestFit="1" customWidth="1"/>
    <col min="16280" max="16280" width="9.140625" style="92"/>
    <col min="16281" max="16281" width="11.5703125" style="92" bestFit="1" customWidth="1"/>
    <col min="16282" max="16282" width="9.28515625" style="92" bestFit="1" customWidth="1"/>
    <col min="16283" max="16283" width="9.140625" style="92"/>
    <col min="16284" max="16284" width="11.7109375" style="92" customWidth="1"/>
    <col min="16285" max="16285" width="10.28515625" style="92" bestFit="1" customWidth="1"/>
    <col min="16286" max="16286" width="9.140625" style="92"/>
    <col min="16287" max="16287" width="11" style="92" bestFit="1" customWidth="1"/>
    <col min="16288" max="16288" width="10" style="92" bestFit="1" customWidth="1"/>
    <col min="16289" max="16289" width="10.28515625" style="92" bestFit="1" customWidth="1"/>
    <col min="16290" max="16290" width="9.28515625" style="92" bestFit="1" customWidth="1"/>
    <col min="16291" max="16291" width="11.28515625" style="92" bestFit="1" customWidth="1"/>
    <col min="16292" max="16292" width="9.42578125" style="92" bestFit="1" customWidth="1"/>
    <col min="16293" max="16293" width="8.140625" style="92" bestFit="1" customWidth="1"/>
    <col min="16294" max="16294" width="10" style="92" bestFit="1" customWidth="1"/>
    <col min="16295" max="16295" width="10.28515625" style="92" bestFit="1" customWidth="1"/>
    <col min="16296" max="16296" width="8.7109375" style="92" customWidth="1"/>
    <col min="16297" max="16297" width="10.28515625" style="92" bestFit="1" customWidth="1"/>
    <col min="16298" max="16298" width="11.28515625" style="92" bestFit="1" customWidth="1"/>
    <col min="16299" max="16299" width="10.85546875" style="92" bestFit="1" customWidth="1"/>
    <col min="16300" max="16300" width="9.85546875" style="92" bestFit="1" customWidth="1"/>
    <col min="16301" max="16302" width="9.140625" style="92"/>
    <col min="16303" max="16303" width="9.85546875" style="92" bestFit="1" customWidth="1"/>
    <col min="16304" max="16307" width="9.140625" style="92"/>
    <col min="16308" max="16308" width="13.5703125" style="92" bestFit="1" customWidth="1"/>
    <col min="16309" max="16309" width="10.28515625" style="92" bestFit="1" customWidth="1"/>
    <col min="16310" max="16384" width="9.140625" style="92"/>
  </cols>
  <sheetData>
    <row r="1" spans="1:232" s="199" customFormat="1" ht="15" thickBot="1" x14ac:dyDescent="0.3">
      <c r="A1" s="198"/>
      <c r="B1" s="235"/>
      <c r="C1" s="200"/>
      <c r="D1" s="95"/>
      <c r="E1" s="94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357"/>
      <c r="AY1" s="357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  <c r="DH1" s="95"/>
      <c r="DI1" s="95"/>
      <c r="DJ1" s="95"/>
      <c r="DK1" s="95"/>
      <c r="DL1" s="95"/>
      <c r="DM1" s="95"/>
      <c r="DN1" s="95"/>
      <c r="DO1" s="95"/>
      <c r="DP1" s="95"/>
      <c r="DQ1" s="95"/>
      <c r="DR1" s="95"/>
      <c r="DS1" s="95"/>
      <c r="DT1" s="95"/>
      <c r="DU1" s="95"/>
      <c r="DV1" s="95"/>
      <c r="DW1" s="95"/>
      <c r="DX1" s="95"/>
      <c r="DY1" s="95"/>
      <c r="DZ1" s="95"/>
      <c r="EA1" s="95"/>
      <c r="EB1" s="95"/>
      <c r="EC1" s="95"/>
      <c r="ED1" s="95"/>
      <c r="EE1" s="95"/>
      <c r="EF1" s="95"/>
      <c r="EG1" s="95"/>
      <c r="EH1" s="95"/>
      <c r="EI1" s="95"/>
      <c r="EJ1" s="95"/>
      <c r="EK1" s="95"/>
      <c r="EL1" s="95"/>
      <c r="EM1" s="95"/>
      <c r="EN1" s="95"/>
      <c r="EO1" s="201"/>
      <c r="EP1" s="95"/>
      <c r="EQ1" s="95"/>
      <c r="ER1" s="95"/>
      <c r="ES1" s="95"/>
      <c r="ET1" s="95"/>
      <c r="EU1" s="95"/>
      <c r="EV1" s="95"/>
      <c r="EW1" s="95"/>
      <c r="EX1" s="95"/>
      <c r="EY1" s="95"/>
      <c r="EZ1" s="95"/>
      <c r="FA1" s="95"/>
      <c r="FB1" s="95"/>
      <c r="FC1" s="95"/>
      <c r="FD1" s="95"/>
      <c r="FE1" s="95"/>
      <c r="FF1" s="95"/>
      <c r="FG1" s="95"/>
      <c r="FH1" s="95"/>
      <c r="FI1" s="95"/>
      <c r="FJ1" s="95"/>
      <c r="FK1" s="95"/>
      <c r="FL1" s="95"/>
      <c r="FM1" s="95"/>
      <c r="FN1" s="95"/>
      <c r="FO1" s="95"/>
      <c r="FP1" s="95"/>
      <c r="FQ1" s="95"/>
      <c r="FR1" s="95"/>
      <c r="FS1" s="95"/>
      <c r="FT1" s="95"/>
      <c r="FU1" s="95"/>
      <c r="FV1" s="95"/>
      <c r="FW1" s="95"/>
      <c r="FX1" s="95"/>
      <c r="FY1" s="95"/>
      <c r="FZ1" s="95"/>
      <c r="GA1" s="95"/>
      <c r="GB1" s="95"/>
      <c r="GC1" s="95"/>
      <c r="GD1" s="95"/>
      <c r="GE1" s="95"/>
      <c r="GF1" s="95"/>
      <c r="GG1" s="95"/>
      <c r="GH1" s="95"/>
      <c r="GI1" s="95"/>
      <c r="GJ1" s="95"/>
      <c r="GK1" s="95"/>
      <c r="GL1" s="95"/>
      <c r="GM1" s="95"/>
      <c r="GN1" s="95"/>
      <c r="GO1" s="95"/>
      <c r="GP1" s="95"/>
      <c r="GQ1" s="95"/>
      <c r="GR1" s="95"/>
      <c r="GS1" s="95"/>
      <c r="GT1" s="95"/>
      <c r="GU1" s="95"/>
      <c r="GV1" s="95"/>
      <c r="GW1" s="95"/>
      <c r="GX1" s="95"/>
      <c r="GY1" s="95"/>
      <c r="GZ1" s="95"/>
      <c r="HA1" s="95"/>
      <c r="HB1" s="95"/>
      <c r="HC1" s="95"/>
      <c r="HD1" s="95"/>
      <c r="HE1" s="95"/>
      <c r="HF1" s="95"/>
      <c r="HG1" s="95"/>
      <c r="HH1" s="95"/>
      <c r="HI1" s="95"/>
      <c r="HJ1" s="95"/>
      <c r="HL1" s="202"/>
      <c r="HM1" s="202"/>
      <c r="HN1" s="202"/>
      <c r="HO1" s="203"/>
      <c r="HP1" s="202"/>
      <c r="HQ1" s="202"/>
      <c r="HR1" s="202"/>
      <c r="HS1" s="202"/>
      <c r="HT1" s="202"/>
      <c r="HU1" s="202"/>
      <c r="HV1" s="202"/>
      <c r="HW1" s="202"/>
      <c r="HX1" s="202"/>
    </row>
    <row r="2" spans="1:232" ht="58.5" hidden="1" customHeight="1" x14ac:dyDescent="0.25"/>
    <row r="3" spans="1:232" ht="15.75" hidden="1" customHeight="1" x14ac:dyDescent="0.25"/>
    <row r="4" spans="1:232" ht="21" customHeight="1" x14ac:dyDescent="0.25">
      <c r="A4" s="103"/>
      <c r="B4" s="237" t="s">
        <v>146</v>
      </c>
      <c r="C4" s="104"/>
      <c r="D4" s="105"/>
      <c r="E4" s="106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4"/>
      <c r="CR4" s="104"/>
      <c r="CS4" s="104"/>
      <c r="CT4" s="105"/>
      <c r="CU4" s="105"/>
      <c r="CV4" s="105"/>
      <c r="CW4" s="105"/>
      <c r="CX4" s="105"/>
      <c r="CY4" s="105"/>
      <c r="CZ4" s="105"/>
      <c r="DA4" s="105"/>
      <c r="DB4" s="105"/>
      <c r="DC4" s="105"/>
      <c r="DD4" s="105"/>
      <c r="DE4" s="105"/>
      <c r="DF4" s="105"/>
      <c r="DG4" s="105"/>
      <c r="DH4" s="105"/>
      <c r="DI4" s="105"/>
      <c r="DJ4" s="105"/>
      <c r="DK4" s="105"/>
      <c r="DL4" s="105"/>
      <c r="DM4" s="105"/>
      <c r="DN4" s="105"/>
      <c r="DO4" s="105"/>
      <c r="DP4" s="105"/>
      <c r="DQ4" s="105"/>
      <c r="DR4" s="105"/>
      <c r="DS4" s="105"/>
      <c r="DT4" s="105"/>
      <c r="DU4" s="105"/>
      <c r="DV4" s="105"/>
      <c r="DW4" s="105"/>
      <c r="DX4" s="105"/>
      <c r="DY4" s="105"/>
      <c r="DZ4" s="105"/>
      <c r="EA4" s="105"/>
      <c r="EB4" s="105"/>
      <c r="EC4" s="105"/>
      <c r="ED4" s="105"/>
      <c r="EE4" s="105"/>
      <c r="EF4" s="105"/>
      <c r="EG4" s="105"/>
      <c r="EH4" s="105"/>
      <c r="EI4" s="105"/>
      <c r="EJ4" s="105"/>
      <c r="EK4" s="105"/>
      <c r="EL4" s="105"/>
      <c r="EM4" s="105"/>
      <c r="EN4" s="105"/>
      <c r="EO4" s="107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  <c r="FU4" s="85"/>
      <c r="FV4" s="85"/>
      <c r="FW4" s="85"/>
      <c r="FX4" s="85"/>
      <c r="FY4" s="85"/>
      <c r="FZ4" s="85"/>
      <c r="GA4" s="85"/>
      <c r="GB4" s="364" t="s">
        <v>0</v>
      </c>
      <c r="GC4" s="365"/>
      <c r="GD4" s="365"/>
      <c r="GE4" s="365"/>
      <c r="GF4" s="365"/>
      <c r="GG4" s="365"/>
      <c r="GH4" s="365"/>
      <c r="GI4" s="365"/>
      <c r="GJ4" s="365"/>
      <c r="GK4" s="365"/>
      <c r="GL4" s="365"/>
      <c r="GM4" s="365"/>
      <c r="GN4" s="365"/>
      <c r="GO4" s="365"/>
      <c r="GP4" s="365"/>
      <c r="GQ4" s="365"/>
      <c r="GR4" s="365"/>
      <c r="GS4" s="365"/>
      <c r="GT4" s="365"/>
      <c r="GU4" s="365"/>
      <c r="GV4" s="365"/>
      <c r="GW4" s="365"/>
      <c r="GX4" s="365"/>
      <c r="GY4" s="365"/>
      <c r="GZ4" s="365"/>
      <c r="HA4" s="365"/>
      <c r="HB4" s="365"/>
      <c r="HC4" s="365"/>
      <c r="HD4" s="365"/>
      <c r="HE4" s="365"/>
      <c r="HF4" s="365"/>
      <c r="HG4" s="365"/>
      <c r="HH4" s="365"/>
      <c r="HI4" s="365"/>
      <c r="HJ4" s="366"/>
      <c r="HK4" s="85"/>
      <c r="HL4" s="108"/>
      <c r="HM4" s="108"/>
      <c r="HN4" s="108"/>
      <c r="HO4" s="89"/>
    </row>
    <row r="5" spans="1:232" ht="15.75" customHeight="1" thickBot="1" x14ac:dyDescent="0.3">
      <c r="A5" s="103"/>
      <c r="B5" s="238" t="s">
        <v>143</v>
      </c>
      <c r="C5" s="110" t="s">
        <v>251</v>
      </c>
      <c r="D5" s="109"/>
      <c r="E5" s="111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9"/>
      <c r="CN5" s="109"/>
      <c r="CO5" s="109"/>
      <c r="CP5" s="109"/>
      <c r="CQ5" s="112"/>
      <c r="CR5" s="112"/>
      <c r="CS5" s="199"/>
      <c r="CT5" s="199"/>
      <c r="CU5" s="199"/>
      <c r="CV5" s="109"/>
      <c r="CW5" s="109"/>
      <c r="CX5" s="109"/>
      <c r="CY5" s="109"/>
      <c r="CZ5" s="109"/>
      <c r="DA5" s="109"/>
      <c r="DB5" s="109"/>
      <c r="DC5" s="109"/>
      <c r="DD5" s="109"/>
      <c r="DE5" s="109"/>
      <c r="DF5" s="109"/>
      <c r="DG5" s="109"/>
      <c r="DH5" s="109"/>
      <c r="DI5" s="109"/>
      <c r="DJ5" s="109"/>
      <c r="DK5" s="109"/>
      <c r="DL5" s="109"/>
      <c r="DM5" s="109"/>
      <c r="DN5" s="109"/>
      <c r="DO5" s="109"/>
      <c r="DP5" s="109"/>
      <c r="DQ5" s="109"/>
      <c r="DR5" s="109"/>
      <c r="DS5" s="109"/>
      <c r="DT5" s="109"/>
      <c r="DU5" s="109"/>
      <c r="DV5" s="109"/>
      <c r="DW5" s="109"/>
      <c r="DX5" s="109"/>
      <c r="DY5" s="109"/>
      <c r="DZ5" s="109"/>
      <c r="EA5" s="109"/>
      <c r="EB5" s="109"/>
      <c r="EC5" s="109"/>
      <c r="ED5" s="109"/>
      <c r="EE5" s="109"/>
      <c r="EF5" s="109"/>
      <c r="EG5" s="109"/>
      <c r="EH5" s="109"/>
      <c r="EI5" s="109"/>
      <c r="EJ5" s="109"/>
      <c r="EK5" s="109"/>
      <c r="EL5" s="109"/>
      <c r="EM5" s="109"/>
      <c r="EN5" s="109"/>
      <c r="EO5" s="113"/>
      <c r="EQ5" s="109"/>
      <c r="ER5" s="109"/>
      <c r="ES5" s="109"/>
      <c r="ET5" s="109"/>
      <c r="EU5" s="109"/>
      <c r="EV5" s="109"/>
      <c r="EW5" s="109"/>
      <c r="EX5" s="109"/>
      <c r="EY5" s="109"/>
      <c r="EZ5" s="109"/>
      <c r="FA5" s="109"/>
      <c r="FB5" s="109"/>
      <c r="FC5" s="109"/>
      <c r="FD5" s="109"/>
      <c r="FE5" s="109"/>
      <c r="FF5" s="109"/>
      <c r="FG5" s="109"/>
      <c r="FH5" s="109"/>
      <c r="FI5" s="109"/>
      <c r="FJ5" s="109"/>
      <c r="FK5" s="109"/>
      <c r="FL5" s="109"/>
      <c r="FM5" s="109"/>
      <c r="FN5" s="109"/>
      <c r="FO5" s="109"/>
      <c r="FP5" s="109"/>
      <c r="FQ5" s="109"/>
      <c r="FR5" s="109"/>
      <c r="FS5" s="109"/>
      <c r="FT5" s="109"/>
      <c r="FU5" s="109"/>
      <c r="FV5" s="109"/>
      <c r="FW5" s="109"/>
      <c r="FX5" s="109"/>
      <c r="FY5" s="109"/>
      <c r="FZ5" s="109"/>
      <c r="GA5" s="85"/>
      <c r="GB5" s="367"/>
      <c r="GC5" s="368"/>
      <c r="GD5" s="368"/>
      <c r="GE5" s="368"/>
      <c r="GF5" s="368"/>
      <c r="GG5" s="368"/>
      <c r="GH5" s="368"/>
      <c r="GI5" s="368"/>
      <c r="GJ5" s="368"/>
      <c r="GK5" s="368"/>
      <c r="GL5" s="368"/>
      <c r="GM5" s="368"/>
      <c r="GN5" s="368"/>
      <c r="GO5" s="368"/>
      <c r="GP5" s="368"/>
      <c r="GQ5" s="368"/>
      <c r="GR5" s="368"/>
      <c r="GS5" s="368"/>
      <c r="GT5" s="368"/>
      <c r="GU5" s="368"/>
      <c r="GV5" s="368"/>
      <c r="GW5" s="368"/>
      <c r="GX5" s="368"/>
      <c r="GY5" s="368"/>
      <c r="GZ5" s="368"/>
      <c r="HA5" s="368"/>
      <c r="HB5" s="368"/>
      <c r="HC5" s="368"/>
      <c r="HD5" s="368"/>
      <c r="HE5" s="368"/>
      <c r="HF5" s="368"/>
      <c r="HG5" s="368"/>
      <c r="HH5" s="368"/>
      <c r="HI5" s="368"/>
      <c r="HJ5" s="369"/>
      <c r="HK5" s="85"/>
      <c r="HL5" s="108"/>
      <c r="HM5" s="108"/>
      <c r="HN5" s="108"/>
      <c r="HO5" s="89"/>
    </row>
    <row r="6" spans="1:232" s="125" customFormat="1" ht="15.75" customHeight="1" thickBot="1" x14ac:dyDescent="0.3">
      <c r="A6" s="114"/>
      <c r="B6" s="238" t="s">
        <v>144</v>
      </c>
      <c r="C6" s="110">
        <v>45015</v>
      </c>
      <c r="D6" s="115"/>
      <c r="E6" s="116"/>
      <c r="F6" s="115"/>
      <c r="G6" s="115"/>
      <c r="H6" s="117"/>
      <c r="I6" s="115"/>
      <c r="J6" s="115"/>
      <c r="K6" s="115"/>
      <c r="L6" s="115"/>
      <c r="M6" s="115"/>
      <c r="N6" s="115"/>
      <c r="O6" s="115"/>
      <c r="P6" s="373" t="s">
        <v>1</v>
      </c>
      <c r="Q6" s="374"/>
      <c r="R6" s="375" t="s">
        <v>2</v>
      </c>
      <c r="S6" s="376"/>
      <c r="T6" s="376"/>
      <c r="U6" s="377"/>
      <c r="V6" s="115"/>
      <c r="W6" s="115"/>
      <c r="X6" s="378" t="s">
        <v>3</v>
      </c>
      <c r="Y6" s="379"/>
      <c r="Z6" s="379"/>
      <c r="AA6" s="379"/>
      <c r="AB6" s="379"/>
      <c r="AC6" s="379"/>
      <c r="AD6" s="379"/>
      <c r="AE6" s="379"/>
      <c r="AF6" s="379"/>
      <c r="AG6" s="379"/>
      <c r="AH6" s="379"/>
      <c r="AI6" s="379"/>
      <c r="AJ6" s="379"/>
      <c r="AK6" s="379"/>
      <c r="AL6" s="379"/>
      <c r="AM6" s="380"/>
      <c r="AN6" s="115"/>
      <c r="AO6" s="115"/>
      <c r="AP6" s="375" t="s">
        <v>4</v>
      </c>
      <c r="AQ6" s="376"/>
      <c r="AR6" s="376"/>
      <c r="AS6" s="376"/>
      <c r="AT6" s="376"/>
      <c r="AU6" s="376"/>
      <c r="AV6" s="376"/>
      <c r="AW6" s="376"/>
      <c r="AX6" s="376"/>
      <c r="AY6" s="376"/>
      <c r="AZ6" s="376"/>
      <c r="BA6" s="376"/>
      <c r="BB6" s="376"/>
      <c r="BC6" s="376"/>
      <c r="BD6" s="376"/>
      <c r="BE6" s="376"/>
      <c r="BF6" s="376"/>
      <c r="BG6" s="376"/>
      <c r="BH6" s="376"/>
      <c r="BI6" s="377"/>
      <c r="BJ6" s="115"/>
      <c r="BK6" s="115"/>
      <c r="BL6" s="115"/>
      <c r="BM6" s="373" t="s">
        <v>5</v>
      </c>
      <c r="BN6" s="381"/>
      <c r="BO6" s="381"/>
      <c r="BP6" s="381"/>
      <c r="BQ6" s="381"/>
      <c r="BR6" s="381"/>
      <c r="BS6" s="381"/>
      <c r="BT6" s="381"/>
      <c r="BU6" s="381"/>
      <c r="BV6" s="374"/>
      <c r="BW6" s="373" t="s">
        <v>6</v>
      </c>
      <c r="BX6" s="381"/>
      <c r="BY6" s="381"/>
      <c r="BZ6" s="381"/>
      <c r="CA6" s="381"/>
      <c r="CB6" s="381"/>
      <c r="CC6" s="374"/>
      <c r="CD6" s="373" t="s">
        <v>7</v>
      </c>
      <c r="CE6" s="381"/>
      <c r="CF6" s="374"/>
      <c r="CG6" s="115"/>
      <c r="CH6" s="115"/>
      <c r="CI6" s="115"/>
      <c r="CJ6" s="115"/>
      <c r="CK6" s="115"/>
      <c r="CL6" s="115"/>
      <c r="CM6" s="115"/>
      <c r="CN6" s="115"/>
      <c r="CO6" s="115"/>
      <c r="CP6" s="115"/>
      <c r="CQ6" s="118"/>
      <c r="CR6" s="118"/>
      <c r="CS6" s="118"/>
      <c r="CT6" s="382" t="s">
        <v>8</v>
      </c>
      <c r="CU6" s="383"/>
      <c r="CV6" s="383"/>
      <c r="CW6" s="383"/>
      <c r="CX6" s="383"/>
      <c r="CY6" s="383"/>
      <c r="CZ6" s="383"/>
      <c r="DA6" s="383"/>
      <c r="DB6" s="383"/>
      <c r="DC6" s="383"/>
      <c r="DD6" s="383"/>
      <c r="DE6" s="384"/>
      <c r="DF6" s="204"/>
      <c r="DG6" s="204"/>
      <c r="DH6" s="385" t="s">
        <v>9</v>
      </c>
      <c r="DI6" s="386"/>
      <c r="DJ6" s="386"/>
      <c r="DK6" s="386"/>
      <c r="DL6" s="386"/>
      <c r="DM6" s="386"/>
      <c r="DN6" s="386"/>
      <c r="DO6" s="386"/>
      <c r="DP6" s="386"/>
      <c r="DQ6" s="387"/>
      <c r="DR6" s="205"/>
      <c r="DS6" s="205"/>
      <c r="DT6" s="205"/>
      <c r="DU6" s="205"/>
      <c r="DV6" s="205"/>
      <c r="DW6" s="205"/>
      <c r="DX6" s="205"/>
      <c r="DY6" s="205"/>
      <c r="DZ6" s="205"/>
      <c r="EA6" s="205"/>
      <c r="EB6" s="205"/>
      <c r="EC6" s="205"/>
      <c r="ED6" s="205"/>
      <c r="EE6" s="205"/>
      <c r="EF6" s="206"/>
      <c r="EG6" s="206"/>
      <c r="EH6" s="115"/>
      <c r="EI6" s="115"/>
      <c r="EJ6" s="375" t="s">
        <v>10</v>
      </c>
      <c r="EK6" s="376"/>
      <c r="EL6" s="377"/>
      <c r="EM6" s="115"/>
      <c r="EN6" s="115"/>
      <c r="EO6" s="119"/>
      <c r="EP6" s="207"/>
      <c r="EQ6" s="120"/>
      <c r="ER6" s="120"/>
      <c r="ES6" s="120"/>
      <c r="ET6" s="120"/>
      <c r="EU6" s="120"/>
      <c r="EV6" s="120"/>
      <c r="EW6" s="120"/>
      <c r="EX6" s="120"/>
      <c r="EY6" s="120"/>
      <c r="EZ6" s="120"/>
      <c r="FA6" s="120"/>
      <c r="FB6" s="120"/>
      <c r="FC6" s="120"/>
      <c r="FD6" s="120"/>
      <c r="FE6" s="120"/>
      <c r="FF6" s="120"/>
      <c r="FG6" s="120"/>
      <c r="FH6" s="120"/>
      <c r="FI6" s="120"/>
      <c r="FJ6" s="120"/>
      <c r="FK6" s="120"/>
      <c r="FL6" s="120"/>
      <c r="FM6" s="120"/>
      <c r="FN6" s="120"/>
      <c r="FO6" s="120"/>
      <c r="FP6" s="120"/>
      <c r="FQ6" s="120"/>
      <c r="FR6" s="120"/>
      <c r="FS6" s="120"/>
      <c r="FT6" s="120"/>
      <c r="FU6" s="120"/>
      <c r="FV6" s="120"/>
      <c r="FW6" s="120"/>
      <c r="FX6" s="120"/>
      <c r="FY6" s="120"/>
      <c r="FZ6" s="121"/>
      <c r="GA6" s="121"/>
      <c r="GB6" s="370"/>
      <c r="GC6" s="371"/>
      <c r="GD6" s="371"/>
      <c r="GE6" s="371"/>
      <c r="GF6" s="371"/>
      <c r="GG6" s="371"/>
      <c r="GH6" s="371"/>
      <c r="GI6" s="371"/>
      <c r="GJ6" s="371"/>
      <c r="GK6" s="371"/>
      <c r="GL6" s="371"/>
      <c r="GM6" s="371"/>
      <c r="GN6" s="371"/>
      <c r="GO6" s="371"/>
      <c r="GP6" s="371"/>
      <c r="GQ6" s="371"/>
      <c r="GR6" s="371"/>
      <c r="GS6" s="371"/>
      <c r="GT6" s="371"/>
      <c r="GU6" s="371"/>
      <c r="GV6" s="371"/>
      <c r="GW6" s="371"/>
      <c r="GX6" s="371"/>
      <c r="GY6" s="371"/>
      <c r="GZ6" s="371"/>
      <c r="HA6" s="371"/>
      <c r="HB6" s="371"/>
      <c r="HC6" s="371"/>
      <c r="HD6" s="371"/>
      <c r="HE6" s="371"/>
      <c r="HF6" s="371"/>
      <c r="HG6" s="371"/>
      <c r="HH6" s="371"/>
      <c r="HI6" s="371"/>
      <c r="HJ6" s="372"/>
      <c r="HK6" s="121"/>
      <c r="HL6" s="122"/>
      <c r="HM6" s="122"/>
      <c r="HN6" s="122"/>
      <c r="HO6" s="123"/>
      <c r="HP6" s="124"/>
      <c r="HQ6" s="124"/>
      <c r="HR6" s="124"/>
      <c r="HS6" s="124"/>
      <c r="HT6" s="124"/>
      <c r="HU6" s="124"/>
      <c r="HV6" s="124"/>
      <c r="HW6" s="124"/>
      <c r="HX6" s="124"/>
    </row>
    <row r="7" spans="1:232" s="140" customFormat="1" ht="35.25" customHeight="1" thickBot="1" x14ac:dyDescent="0.3">
      <c r="A7" s="126"/>
      <c r="B7" s="239" t="s">
        <v>185</v>
      </c>
      <c r="C7" s="356"/>
      <c r="D7" s="356"/>
      <c r="E7" s="356"/>
      <c r="F7" s="356"/>
      <c r="G7" s="356"/>
      <c r="H7" s="356"/>
      <c r="I7" s="356"/>
      <c r="J7" s="356"/>
      <c r="K7" s="127"/>
      <c r="L7" s="128"/>
      <c r="M7" s="128"/>
      <c r="N7" s="128"/>
      <c r="O7" s="128"/>
      <c r="P7" s="392" t="s">
        <v>11</v>
      </c>
      <c r="Q7" s="358"/>
      <c r="R7" s="358" t="s">
        <v>12</v>
      </c>
      <c r="S7" s="358"/>
      <c r="T7" s="358" t="s">
        <v>13</v>
      </c>
      <c r="U7" s="358"/>
      <c r="V7" s="358" t="s">
        <v>14</v>
      </c>
      <c r="W7" s="358"/>
      <c r="X7" s="393" t="s">
        <v>15</v>
      </c>
      <c r="Y7" s="393"/>
      <c r="Z7" s="393" t="s">
        <v>16</v>
      </c>
      <c r="AA7" s="393"/>
      <c r="AB7" s="393" t="s">
        <v>17</v>
      </c>
      <c r="AC7" s="393"/>
      <c r="AD7" s="393" t="s">
        <v>18</v>
      </c>
      <c r="AE7" s="393"/>
      <c r="AF7" s="393" t="s">
        <v>19</v>
      </c>
      <c r="AG7" s="393"/>
      <c r="AH7" s="393" t="s">
        <v>20</v>
      </c>
      <c r="AI7" s="393"/>
      <c r="AJ7" s="393" t="s">
        <v>21</v>
      </c>
      <c r="AK7" s="393"/>
      <c r="AL7" s="393" t="s">
        <v>22</v>
      </c>
      <c r="AM7" s="393"/>
      <c r="AN7" s="358" t="s">
        <v>23</v>
      </c>
      <c r="AO7" s="358"/>
      <c r="AP7" s="358" t="s">
        <v>24</v>
      </c>
      <c r="AQ7" s="358"/>
      <c r="AR7" s="358" t="s">
        <v>25</v>
      </c>
      <c r="AS7" s="358"/>
      <c r="AT7" s="358" t="s">
        <v>26</v>
      </c>
      <c r="AU7" s="358"/>
      <c r="AV7" s="358" t="s">
        <v>27</v>
      </c>
      <c r="AW7" s="358"/>
      <c r="AX7" s="358" t="s">
        <v>183</v>
      </c>
      <c r="AY7" s="358"/>
      <c r="AZ7" s="358" t="s">
        <v>28</v>
      </c>
      <c r="BA7" s="358"/>
      <c r="BB7" s="358" t="s">
        <v>184</v>
      </c>
      <c r="BC7" s="358"/>
      <c r="BD7" s="358" t="s">
        <v>30</v>
      </c>
      <c r="BE7" s="358"/>
      <c r="BF7" s="358" t="s">
        <v>177</v>
      </c>
      <c r="BG7" s="358"/>
      <c r="BH7" s="358" t="s">
        <v>32</v>
      </c>
      <c r="BI7" s="358"/>
      <c r="BJ7" s="358" t="s">
        <v>33</v>
      </c>
      <c r="BK7" s="358"/>
      <c r="BL7" s="129" t="s">
        <v>34</v>
      </c>
      <c r="BM7" s="358" t="s">
        <v>35</v>
      </c>
      <c r="BN7" s="358"/>
      <c r="BO7" s="358" t="s">
        <v>36</v>
      </c>
      <c r="BP7" s="358"/>
      <c r="BQ7" s="358" t="s">
        <v>37</v>
      </c>
      <c r="BR7" s="358"/>
      <c r="BS7" s="358" t="s">
        <v>38</v>
      </c>
      <c r="BT7" s="358"/>
      <c r="BU7" s="358" t="s">
        <v>39</v>
      </c>
      <c r="BV7" s="361"/>
      <c r="BW7" s="362" t="s">
        <v>40</v>
      </c>
      <c r="BX7" s="362" t="s">
        <v>41</v>
      </c>
      <c r="BY7" s="359" t="s">
        <v>42</v>
      </c>
      <c r="BZ7" s="359" t="s">
        <v>43</v>
      </c>
      <c r="CA7" s="359" t="s">
        <v>44</v>
      </c>
      <c r="CB7" s="359" t="s">
        <v>45</v>
      </c>
      <c r="CC7" s="359" t="s">
        <v>46</v>
      </c>
      <c r="CD7" s="359" t="s">
        <v>47</v>
      </c>
      <c r="CE7" s="359" t="s">
        <v>47</v>
      </c>
      <c r="CF7" s="359" t="s">
        <v>47</v>
      </c>
      <c r="CG7" s="397" t="s">
        <v>49</v>
      </c>
      <c r="CH7" s="398"/>
      <c r="CI7" s="392" t="s">
        <v>50</v>
      </c>
      <c r="CJ7" s="361"/>
      <c r="CK7" s="397" t="s">
        <v>163</v>
      </c>
      <c r="CL7" s="398"/>
      <c r="CM7" s="397" t="s">
        <v>51</v>
      </c>
      <c r="CN7" s="398"/>
      <c r="CO7" s="359" t="s">
        <v>52</v>
      </c>
      <c r="CP7" s="359" t="s">
        <v>48</v>
      </c>
      <c r="CQ7" s="417" t="s">
        <v>215</v>
      </c>
      <c r="CR7" s="418"/>
      <c r="CS7" s="419"/>
      <c r="CT7" s="130" t="s">
        <v>54</v>
      </c>
      <c r="CU7" s="131" t="s">
        <v>55</v>
      </c>
      <c r="CV7" s="131" t="s">
        <v>164</v>
      </c>
      <c r="CW7" s="424" t="s">
        <v>198</v>
      </c>
      <c r="CX7" s="425"/>
      <c r="CY7" s="425"/>
      <c r="CZ7" s="426"/>
      <c r="DA7" s="424" t="s">
        <v>199</v>
      </c>
      <c r="DB7" s="425"/>
      <c r="DC7" s="426"/>
      <c r="DD7" s="424" t="s">
        <v>200</v>
      </c>
      <c r="DE7" s="425"/>
      <c r="DF7" s="426"/>
      <c r="DG7" s="422" t="s">
        <v>65</v>
      </c>
      <c r="DH7" s="420" t="s">
        <v>66</v>
      </c>
      <c r="DI7" s="421"/>
      <c r="DJ7" s="421"/>
      <c r="DK7" s="390"/>
      <c r="DL7" s="130"/>
      <c r="DM7" s="420" t="s">
        <v>67</v>
      </c>
      <c r="DN7" s="421"/>
      <c r="DO7" s="421"/>
      <c r="DP7" s="390"/>
      <c r="DQ7" s="132"/>
      <c r="DR7" s="399" t="s">
        <v>68</v>
      </c>
      <c r="DS7" s="400"/>
      <c r="DT7" s="400"/>
      <c r="DU7" s="400"/>
      <c r="DV7" s="400"/>
      <c r="DW7" s="400"/>
      <c r="DX7" s="401"/>
      <c r="DY7" s="362" t="s">
        <v>69</v>
      </c>
      <c r="DZ7" s="359" t="s">
        <v>178</v>
      </c>
      <c r="EA7" s="359" t="s">
        <v>179</v>
      </c>
      <c r="EB7" s="359" t="s">
        <v>180</v>
      </c>
      <c r="EC7" s="359" t="s">
        <v>181</v>
      </c>
      <c r="ED7" s="359" t="s">
        <v>248</v>
      </c>
      <c r="EE7" s="362" t="s">
        <v>206</v>
      </c>
      <c r="EF7" s="388" t="s">
        <v>182</v>
      </c>
      <c r="EG7" s="362" t="s">
        <v>73</v>
      </c>
      <c r="EH7" s="390" t="s">
        <v>74</v>
      </c>
      <c r="EI7" s="414" t="s">
        <v>75</v>
      </c>
      <c r="EJ7" s="131" t="s">
        <v>76</v>
      </c>
      <c r="EK7" s="131" t="s">
        <v>77</v>
      </c>
      <c r="EL7" s="133" t="s">
        <v>78</v>
      </c>
      <c r="EM7" s="359" t="s">
        <v>79</v>
      </c>
      <c r="EN7" s="359" t="s">
        <v>80</v>
      </c>
      <c r="EO7" s="134"/>
      <c r="EP7" s="208"/>
      <c r="EQ7" s="135"/>
      <c r="ER7" s="135"/>
      <c r="ES7" s="405" t="s">
        <v>81</v>
      </c>
      <c r="ET7" s="406"/>
      <c r="EU7" s="406"/>
      <c r="EV7" s="406"/>
      <c r="EW7" s="406"/>
      <c r="EX7" s="406"/>
      <c r="EY7" s="406"/>
      <c r="EZ7" s="406"/>
      <c r="FA7" s="406"/>
      <c r="FB7" s="416" t="s">
        <v>82</v>
      </c>
      <c r="FC7" s="135"/>
      <c r="FD7" s="405" t="s">
        <v>83</v>
      </c>
      <c r="FE7" s="406"/>
      <c r="FF7" s="406"/>
      <c r="FG7" s="406"/>
      <c r="FH7" s="407"/>
      <c r="FI7" s="135"/>
      <c r="FJ7" s="135"/>
      <c r="FK7" s="402" t="s">
        <v>84</v>
      </c>
      <c r="FL7" s="403"/>
      <c r="FM7" s="403"/>
      <c r="FN7" s="403"/>
      <c r="FO7" s="403"/>
      <c r="FP7" s="404"/>
      <c r="FQ7" s="405" t="s">
        <v>85</v>
      </c>
      <c r="FR7" s="406"/>
      <c r="FS7" s="406"/>
      <c r="FT7" s="406"/>
      <c r="FU7" s="406"/>
      <c r="FV7" s="406"/>
      <c r="FW7" s="407"/>
      <c r="FX7" s="136"/>
      <c r="FY7" s="135"/>
      <c r="FZ7" s="135"/>
      <c r="GA7" s="135"/>
      <c r="GB7" s="135"/>
      <c r="GC7" s="135"/>
      <c r="GD7" s="408" t="s">
        <v>81</v>
      </c>
      <c r="GE7" s="409"/>
      <c r="GF7" s="409"/>
      <c r="GG7" s="409"/>
      <c r="GH7" s="409"/>
      <c r="GI7" s="409"/>
      <c r="GJ7" s="409"/>
      <c r="GK7" s="409"/>
      <c r="GL7" s="409"/>
      <c r="GM7" s="410" t="s">
        <v>82</v>
      </c>
      <c r="GN7" s="135"/>
      <c r="GO7" s="394" t="s">
        <v>83</v>
      </c>
      <c r="GP7" s="395"/>
      <c r="GQ7" s="395"/>
      <c r="GR7" s="395"/>
      <c r="GS7" s="396"/>
      <c r="GT7" s="135"/>
      <c r="GU7" s="135"/>
      <c r="GV7" s="411" t="s">
        <v>84</v>
      </c>
      <c r="GW7" s="412"/>
      <c r="GX7" s="412"/>
      <c r="GY7" s="412"/>
      <c r="GZ7" s="412"/>
      <c r="HA7" s="413"/>
      <c r="HB7" s="394" t="s">
        <v>85</v>
      </c>
      <c r="HC7" s="395"/>
      <c r="HD7" s="395"/>
      <c r="HE7" s="395"/>
      <c r="HF7" s="395"/>
      <c r="HG7" s="395"/>
      <c r="HH7" s="396"/>
      <c r="HI7" s="136"/>
      <c r="HJ7" s="135"/>
      <c r="HK7" s="137"/>
      <c r="HL7" s="137"/>
      <c r="HM7" s="137"/>
      <c r="HN7" s="137"/>
      <c r="HO7" s="138"/>
      <c r="HP7" s="139"/>
      <c r="HQ7" s="139"/>
      <c r="HR7" s="139"/>
      <c r="HS7" s="139"/>
      <c r="HT7" s="139"/>
      <c r="HU7" s="139"/>
      <c r="HV7" s="139"/>
      <c r="HW7" s="139"/>
      <c r="HX7" s="139"/>
    </row>
    <row r="8" spans="1:232" s="168" customFormat="1" ht="37.5" customHeight="1" thickBot="1" x14ac:dyDescent="0.3">
      <c r="A8" s="141" t="s">
        <v>86</v>
      </c>
      <c r="B8" s="240" t="s">
        <v>87</v>
      </c>
      <c r="C8" s="142" t="s">
        <v>88</v>
      </c>
      <c r="D8" s="142" t="s">
        <v>89</v>
      </c>
      <c r="E8" s="142" t="s">
        <v>90</v>
      </c>
      <c r="F8" s="142" t="s">
        <v>186</v>
      </c>
      <c r="G8" s="142"/>
      <c r="H8" s="142" t="s">
        <v>92</v>
      </c>
      <c r="I8" s="142" t="s">
        <v>93</v>
      </c>
      <c r="J8" s="142" t="s">
        <v>94</v>
      </c>
      <c r="K8" s="142" t="s">
        <v>207</v>
      </c>
      <c r="L8" s="142" t="s">
        <v>95</v>
      </c>
      <c r="M8" s="142" t="s">
        <v>96</v>
      </c>
      <c r="N8" s="142" t="s">
        <v>97</v>
      </c>
      <c r="O8" s="143" t="s">
        <v>98</v>
      </c>
      <c r="P8" s="209" t="s">
        <v>101</v>
      </c>
      <c r="Q8" s="144" t="s">
        <v>100</v>
      </c>
      <c r="R8" s="144" t="s">
        <v>99</v>
      </c>
      <c r="S8" s="144" t="s">
        <v>100</v>
      </c>
      <c r="T8" s="144" t="s">
        <v>99</v>
      </c>
      <c r="U8" s="144" t="s">
        <v>100</v>
      </c>
      <c r="V8" s="144" t="s">
        <v>99</v>
      </c>
      <c r="W8" s="142" t="s">
        <v>100</v>
      </c>
      <c r="X8" s="210" t="s">
        <v>101</v>
      </c>
      <c r="Y8" s="210" t="s">
        <v>100</v>
      </c>
      <c r="Z8" s="210" t="s">
        <v>101</v>
      </c>
      <c r="AA8" s="210" t="s">
        <v>100</v>
      </c>
      <c r="AB8" s="211" t="s">
        <v>101</v>
      </c>
      <c r="AC8" s="209" t="s">
        <v>100</v>
      </c>
      <c r="AD8" s="209" t="s">
        <v>101</v>
      </c>
      <c r="AE8" s="209" t="s">
        <v>100</v>
      </c>
      <c r="AF8" s="209" t="s">
        <v>101</v>
      </c>
      <c r="AG8" s="209" t="s">
        <v>100</v>
      </c>
      <c r="AH8" s="209" t="s">
        <v>101</v>
      </c>
      <c r="AI8" s="209" t="s">
        <v>100</v>
      </c>
      <c r="AJ8" s="209" t="s">
        <v>101</v>
      </c>
      <c r="AK8" s="209" t="s">
        <v>100</v>
      </c>
      <c r="AL8" s="209" t="s">
        <v>101</v>
      </c>
      <c r="AM8" s="209" t="s">
        <v>100</v>
      </c>
      <c r="AN8" s="145" t="s">
        <v>99</v>
      </c>
      <c r="AO8" s="146" t="s">
        <v>100</v>
      </c>
      <c r="AP8" s="145" t="s">
        <v>99</v>
      </c>
      <c r="AQ8" s="146" t="s">
        <v>100</v>
      </c>
      <c r="AR8" s="145" t="s">
        <v>99</v>
      </c>
      <c r="AS8" s="146" t="s">
        <v>100</v>
      </c>
      <c r="AT8" s="145" t="s">
        <v>99</v>
      </c>
      <c r="AU8" s="146" t="s">
        <v>100</v>
      </c>
      <c r="AV8" s="145" t="s">
        <v>99</v>
      </c>
      <c r="AW8" s="146" t="s">
        <v>100</v>
      </c>
      <c r="AX8" s="145" t="s">
        <v>99</v>
      </c>
      <c r="AY8" s="146" t="s">
        <v>100</v>
      </c>
      <c r="AZ8" s="145" t="s">
        <v>99</v>
      </c>
      <c r="BA8" s="146" t="s">
        <v>100</v>
      </c>
      <c r="BB8" s="145" t="s">
        <v>99</v>
      </c>
      <c r="BC8" s="146" t="s">
        <v>100</v>
      </c>
      <c r="BD8" s="145" t="s">
        <v>99</v>
      </c>
      <c r="BE8" s="146" t="s">
        <v>100</v>
      </c>
      <c r="BF8" s="145" t="s">
        <v>99</v>
      </c>
      <c r="BG8" s="146" t="s">
        <v>100</v>
      </c>
      <c r="BH8" s="145" t="s">
        <v>99</v>
      </c>
      <c r="BI8" s="146" t="s">
        <v>100</v>
      </c>
      <c r="BJ8" s="145" t="s">
        <v>99</v>
      </c>
      <c r="BK8" s="146" t="s">
        <v>100</v>
      </c>
      <c r="BL8" s="146" t="s">
        <v>100</v>
      </c>
      <c r="BM8" s="145" t="s">
        <v>102</v>
      </c>
      <c r="BN8" s="145" t="s">
        <v>103</v>
      </c>
      <c r="BO8" s="145" t="s">
        <v>102</v>
      </c>
      <c r="BP8" s="145" t="s">
        <v>103</v>
      </c>
      <c r="BQ8" s="145" t="s">
        <v>102</v>
      </c>
      <c r="BR8" s="145" t="s">
        <v>103</v>
      </c>
      <c r="BS8" s="145" t="s">
        <v>102</v>
      </c>
      <c r="BT8" s="145" t="s">
        <v>103</v>
      </c>
      <c r="BU8" s="145" t="s">
        <v>102</v>
      </c>
      <c r="BV8" s="147" t="s">
        <v>103</v>
      </c>
      <c r="BW8" s="363"/>
      <c r="BX8" s="363"/>
      <c r="BY8" s="360"/>
      <c r="BZ8" s="360"/>
      <c r="CA8" s="360"/>
      <c r="CB8" s="360"/>
      <c r="CC8" s="360"/>
      <c r="CD8" s="360"/>
      <c r="CE8" s="360"/>
      <c r="CF8" s="360"/>
      <c r="CG8" s="142" t="s">
        <v>99</v>
      </c>
      <c r="CH8" s="142" t="s">
        <v>100</v>
      </c>
      <c r="CI8" s="142" t="s">
        <v>162</v>
      </c>
      <c r="CJ8" s="142" t="s">
        <v>100</v>
      </c>
      <c r="CK8" s="142" t="s">
        <v>162</v>
      </c>
      <c r="CL8" s="142" t="s">
        <v>100</v>
      </c>
      <c r="CM8" s="142" t="s">
        <v>104</v>
      </c>
      <c r="CN8" s="142" t="s">
        <v>100</v>
      </c>
      <c r="CO8" s="360"/>
      <c r="CP8" s="360"/>
      <c r="CQ8" s="142" t="s">
        <v>105</v>
      </c>
      <c r="CR8" s="142" t="s">
        <v>106</v>
      </c>
      <c r="CS8" s="142" t="s">
        <v>107</v>
      </c>
      <c r="CT8" s="212">
        <v>0</v>
      </c>
      <c r="CU8" s="148">
        <v>0</v>
      </c>
      <c r="CV8" s="148">
        <v>0</v>
      </c>
      <c r="CW8" s="149" t="s">
        <v>201</v>
      </c>
      <c r="CX8" s="150" t="s">
        <v>202</v>
      </c>
      <c r="CY8" s="151" t="s">
        <v>203</v>
      </c>
      <c r="CZ8" s="151" t="s">
        <v>128</v>
      </c>
      <c r="DA8" s="152" t="s">
        <v>201</v>
      </c>
      <c r="DB8" s="153" t="s">
        <v>202</v>
      </c>
      <c r="DC8" s="154" t="s">
        <v>128</v>
      </c>
      <c r="DD8" s="149" t="s">
        <v>201</v>
      </c>
      <c r="DE8" s="151" t="s">
        <v>202</v>
      </c>
      <c r="DF8" s="155" t="s">
        <v>128</v>
      </c>
      <c r="DG8" s="423"/>
      <c r="DH8" s="156" t="s">
        <v>108</v>
      </c>
      <c r="DI8" s="156" t="s">
        <v>109</v>
      </c>
      <c r="DJ8" s="156" t="s">
        <v>165</v>
      </c>
      <c r="DK8" s="156" t="s">
        <v>166</v>
      </c>
      <c r="DL8" s="157" t="s">
        <v>111</v>
      </c>
      <c r="DM8" s="157" t="s">
        <v>112</v>
      </c>
      <c r="DN8" s="157" t="s">
        <v>145</v>
      </c>
      <c r="DO8" s="157" t="s">
        <v>113</v>
      </c>
      <c r="DP8" s="157" t="s">
        <v>114</v>
      </c>
      <c r="DQ8" s="158" t="s">
        <v>111</v>
      </c>
      <c r="DR8" s="159" t="s">
        <v>115</v>
      </c>
      <c r="DS8" s="50" t="s">
        <v>116</v>
      </c>
      <c r="DT8" s="222" t="s">
        <v>117</v>
      </c>
      <c r="DU8" s="145" t="s">
        <v>108</v>
      </c>
      <c r="DV8" s="145" t="s">
        <v>109</v>
      </c>
      <c r="DW8" s="160" t="s">
        <v>167</v>
      </c>
      <c r="DX8" s="160" t="s">
        <v>168</v>
      </c>
      <c r="DY8" s="363"/>
      <c r="DZ8" s="360"/>
      <c r="EA8" s="360"/>
      <c r="EB8" s="360"/>
      <c r="EC8" s="360"/>
      <c r="ED8" s="360"/>
      <c r="EE8" s="363"/>
      <c r="EF8" s="389"/>
      <c r="EG8" s="363"/>
      <c r="EH8" s="391"/>
      <c r="EI8" s="415"/>
      <c r="EJ8" s="148">
        <v>0</v>
      </c>
      <c r="EK8" s="148">
        <v>0</v>
      </c>
      <c r="EL8" s="161">
        <v>0</v>
      </c>
      <c r="EM8" s="360"/>
      <c r="EN8" s="360"/>
      <c r="EO8" s="134"/>
      <c r="EP8" s="213"/>
      <c r="EQ8" s="162" t="s">
        <v>98</v>
      </c>
      <c r="ER8" s="162" t="s">
        <v>119</v>
      </c>
      <c r="ES8" s="162" t="s">
        <v>120</v>
      </c>
      <c r="ET8" s="162" t="s">
        <v>121</v>
      </c>
      <c r="EU8" s="162" t="s">
        <v>122</v>
      </c>
      <c r="EV8" s="162" t="s">
        <v>123</v>
      </c>
      <c r="EW8" s="162" t="s">
        <v>41</v>
      </c>
      <c r="EX8" s="162" t="s">
        <v>124</v>
      </c>
      <c r="EY8" s="162" t="s">
        <v>125</v>
      </c>
      <c r="EZ8" s="162" t="s">
        <v>126</v>
      </c>
      <c r="FA8" s="163" t="s">
        <v>127</v>
      </c>
      <c r="FB8" s="410"/>
      <c r="FC8" s="164" t="s">
        <v>128</v>
      </c>
      <c r="FD8" s="162" t="s">
        <v>120</v>
      </c>
      <c r="FE8" s="162" t="s">
        <v>129</v>
      </c>
      <c r="FF8" s="162" t="s">
        <v>126</v>
      </c>
      <c r="FG8" s="162" t="s">
        <v>41</v>
      </c>
      <c r="FH8" s="162" t="s">
        <v>127</v>
      </c>
      <c r="FI8" s="162" t="s">
        <v>128</v>
      </c>
      <c r="FJ8" s="162" t="s">
        <v>130</v>
      </c>
      <c r="FK8" s="162" t="s">
        <v>131</v>
      </c>
      <c r="FL8" s="165" t="s">
        <v>115</v>
      </c>
      <c r="FM8" s="162" t="s">
        <v>132</v>
      </c>
      <c r="FN8" s="162" t="s">
        <v>133</v>
      </c>
      <c r="FO8" s="162" t="s">
        <v>134</v>
      </c>
      <c r="FP8" s="162" t="s">
        <v>127</v>
      </c>
      <c r="FQ8" s="162" t="s">
        <v>108</v>
      </c>
      <c r="FR8" s="165" t="s">
        <v>109</v>
      </c>
      <c r="FS8" s="162" t="s">
        <v>135</v>
      </c>
      <c r="FT8" s="162" t="s">
        <v>136</v>
      </c>
      <c r="FU8" s="162" t="s">
        <v>137</v>
      </c>
      <c r="FV8" s="162" t="s">
        <v>138</v>
      </c>
      <c r="FW8" s="162" t="s">
        <v>139</v>
      </c>
      <c r="FX8" s="162" t="s">
        <v>140</v>
      </c>
      <c r="FY8" s="162" t="s">
        <v>79</v>
      </c>
      <c r="FZ8" s="164"/>
      <c r="GA8" s="164"/>
      <c r="GB8" s="162" t="s">
        <v>98</v>
      </c>
      <c r="GC8" s="162" t="s">
        <v>119</v>
      </c>
      <c r="GD8" s="162" t="s">
        <v>120</v>
      </c>
      <c r="GE8" s="162" t="s">
        <v>121</v>
      </c>
      <c r="GF8" s="162" t="s">
        <v>122</v>
      </c>
      <c r="GG8" s="162" t="s">
        <v>123</v>
      </c>
      <c r="GH8" s="162" t="s">
        <v>41</v>
      </c>
      <c r="GI8" s="162" t="s">
        <v>124</v>
      </c>
      <c r="GJ8" s="162" t="s">
        <v>125</v>
      </c>
      <c r="GK8" s="162" t="s">
        <v>126</v>
      </c>
      <c r="GL8" s="162" t="s">
        <v>127</v>
      </c>
      <c r="GM8" s="410"/>
      <c r="GN8" s="163" t="s">
        <v>128</v>
      </c>
      <c r="GO8" s="162" t="s">
        <v>120</v>
      </c>
      <c r="GP8" s="162" t="s">
        <v>129</v>
      </c>
      <c r="GQ8" s="162" t="s">
        <v>126</v>
      </c>
      <c r="GR8" s="162" t="s">
        <v>41</v>
      </c>
      <c r="GS8" s="162" t="s">
        <v>127</v>
      </c>
      <c r="GT8" s="162" t="s">
        <v>128</v>
      </c>
      <c r="GU8" s="162" t="s">
        <v>130</v>
      </c>
      <c r="GV8" s="162" t="s">
        <v>131</v>
      </c>
      <c r="GW8" s="165" t="s">
        <v>115</v>
      </c>
      <c r="GX8" s="162" t="s">
        <v>132</v>
      </c>
      <c r="GY8" s="162" t="s">
        <v>133</v>
      </c>
      <c r="GZ8" s="162" t="s">
        <v>134</v>
      </c>
      <c r="HA8" s="162" t="s">
        <v>127</v>
      </c>
      <c r="HB8" s="162" t="s">
        <v>108</v>
      </c>
      <c r="HC8" s="165" t="s">
        <v>109</v>
      </c>
      <c r="HD8" s="162" t="s">
        <v>135</v>
      </c>
      <c r="HE8" s="162" t="s">
        <v>136</v>
      </c>
      <c r="HF8" s="162" t="s">
        <v>137</v>
      </c>
      <c r="HG8" s="162" t="s">
        <v>138</v>
      </c>
      <c r="HH8" s="162" t="s">
        <v>139</v>
      </c>
      <c r="HI8" s="162" t="s">
        <v>140</v>
      </c>
      <c r="HJ8" s="162" t="s">
        <v>79</v>
      </c>
      <c r="HK8" s="164" t="s">
        <v>169</v>
      </c>
      <c r="HL8" s="166"/>
      <c r="HM8" s="166"/>
      <c r="HN8" s="166"/>
      <c r="HO8" s="138"/>
      <c r="HP8" s="167"/>
      <c r="HQ8" s="167"/>
      <c r="HR8" s="167"/>
      <c r="HS8" s="167"/>
      <c r="HT8" s="167"/>
      <c r="HU8" s="167"/>
      <c r="HV8" s="167"/>
      <c r="HW8" s="167"/>
      <c r="HX8" s="167"/>
    </row>
    <row r="9" spans="1:232" ht="15.75" customHeight="1" thickBot="1" x14ac:dyDescent="0.3">
      <c r="A9" s="217" t="s">
        <v>208</v>
      </c>
      <c r="B9" s="241" t="s">
        <v>188</v>
      </c>
      <c r="C9" s="169" t="s">
        <v>187</v>
      </c>
      <c r="D9" s="183"/>
      <c r="E9" s="169" t="s">
        <v>189</v>
      </c>
      <c r="F9" s="170" t="s">
        <v>195</v>
      </c>
      <c r="G9" s="171" t="s">
        <v>170</v>
      </c>
      <c r="H9" s="223">
        <v>15000</v>
      </c>
      <c r="I9" s="172">
        <f t="shared" ref="I9:I23" si="0">IF(J9=0,H9/2,0)</f>
        <v>0</v>
      </c>
      <c r="J9" s="175">
        <v>13</v>
      </c>
      <c r="K9" s="251">
        <v>10</v>
      </c>
      <c r="L9" s="180">
        <f t="shared" ref="L9:L23" si="1">H9/26</f>
        <v>576.92307692307691</v>
      </c>
      <c r="M9" s="180">
        <f t="shared" ref="M9:M23" si="2">L9/8</f>
        <v>72.115384615384613</v>
      </c>
      <c r="N9" s="180">
        <f t="shared" ref="N9:N23" si="3">M9/60</f>
        <v>1.2019230769230769</v>
      </c>
      <c r="O9" s="174">
        <f t="shared" ref="O9:O23" si="4">I9+(J9*L9)</f>
        <v>7500</v>
      </c>
      <c r="P9" s="175"/>
      <c r="Q9" s="174">
        <f t="shared" ref="Q9:Q23" si="5">(M9*1.25)*P9</f>
        <v>0</v>
      </c>
      <c r="R9" s="175"/>
      <c r="S9" s="174">
        <f>(M9*1.3)*R9</f>
        <v>0</v>
      </c>
      <c r="T9" s="171"/>
      <c r="U9" s="174">
        <f t="shared" ref="U9:U23" si="6">(M9*1.69)*T9</f>
        <v>0</v>
      </c>
      <c r="V9" s="173">
        <f t="shared" ref="V9:V23" si="7">R9+T9</f>
        <v>0</v>
      </c>
      <c r="W9" s="173">
        <f t="shared" ref="W9:W23" si="8">+S9+U9</f>
        <v>0</v>
      </c>
      <c r="X9" s="171"/>
      <c r="Y9" s="174">
        <f t="shared" ref="Y9:Y23" si="9">(M9*0.3)*X9</f>
        <v>0</v>
      </c>
      <c r="Z9" s="171"/>
      <c r="AA9" s="174">
        <f t="shared" ref="AA9:AA23" si="10">(M9*1.69)*Z9</f>
        <v>0</v>
      </c>
      <c r="AB9" s="171"/>
      <c r="AC9" s="174">
        <f t="shared" ref="AC9:AC23" si="11">(M9*0.5)*AB9</f>
        <v>0</v>
      </c>
      <c r="AD9" s="171"/>
      <c r="AE9" s="174">
        <f t="shared" ref="AE9:AE23" si="12">(M9*1.95)*AD9</f>
        <v>0</v>
      </c>
      <c r="AF9" s="175"/>
      <c r="AG9" s="174">
        <f t="shared" ref="AG9:AG23" si="13">M9*AF9</f>
        <v>0</v>
      </c>
      <c r="AH9" s="171"/>
      <c r="AI9" s="174">
        <f t="shared" ref="AI9:AI23" si="14">(M9*2.6)*AH9</f>
        <v>0</v>
      </c>
      <c r="AJ9" s="171"/>
      <c r="AK9" s="174">
        <f t="shared" ref="AK9:AK23" si="15">(M9*2.6)*AJ9</f>
        <v>0</v>
      </c>
      <c r="AL9" s="171"/>
      <c r="AM9" s="174">
        <f t="shared" ref="AM9:AM23" si="16">(M9*3.38)*AL9</f>
        <v>0</v>
      </c>
      <c r="AN9" s="173">
        <f t="shared" ref="AN9:AN23" si="17">X9+Z9+AB9+AD9+AF9+AH9+AJ9+AL9</f>
        <v>0</v>
      </c>
      <c r="AO9" s="173">
        <f t="shared" ref="AO9:AO23" si="18">Y9+AA9+AC9+AE9+AG9+AI9+AK9+AM9</f>
        <v>0</v>
      </c>
      <c r="AP9" s="171"/>
      <c r="AQ9" s="174">
        <f t="shared" ref="AQ9:AQ23" si="19">(M9*0.1)*AP9</f>
        <v>0</v>
      </c>
      <c r="AR9" s="171"/>
      <c r="AS9" s="174">
        <f t="shared" ref="AS9:AS23" si="20">((M9*1.25)*0.1)*AR9</f>
        <v>0</v>
      </c>
      <c r="AT9" s="171"/>
      <c r="AU9" s="174">
        <f t="shared" ref="AU9:AU23" si="21">((M9*2)*0.1)*AT9</f>
        <v>0</v>
      </c>
      <c r="AV9" s="171"/>
      <c r="AW9" s="228">
        <f t="shared" ref="AW9:AW23" si="22">((M9*2.6)*0.1)*AV9</f>
        <v>0</v>
      </c>
      <c r="AX9" s="171"/>
      <c r="AY9" s="174">
        <f t="shared" ref="AY9:AY23" si="23">((M9*2.6)*0.1)*AX9</f>
        <v>0</v>
      </c>
      <c r="AZ9" s="171"/>
      <c r="BA9" s="174">
        <f t="shared" ref="BA9:BA23" si="24">((M9*3.38)*0.1)*AZ9</f>
        <v>0</v>
      </c>
      <c r="BB9" s="171"/>
      <c r="BC9" s="174">
        <f t="shared" ref="BC9:BC23" si="25">((M9*1.3)*0.1)*BB9</f>
        <v>0</v>
      </c>
      <c r="BD9" s="171"/>
      <c r="BE9" s="174">
        <f t="shared" ref="BE9:BE23" si="26">((M9*1.69)*0.1)*BD9</f>
        <v>0</v>
      </c>
      <c r="BF9" s="171"/>
      <c r="BG9" s="174">
        <f t="shared" ref="BG9:BG23" si="27">((M9*1.5)*0.1)*BF9</f>
        <v>0</v>
      </c>
      <c r="BH9" s="171"/>
      <c r="BI9" s="174">
        <f t="shared" ref="BI9:BI23" si="28">((M9*1.95)*0.1)*BH9</f>
        <v>0</v>
      </c>
      <c r="BJ9" s="176">
        <f t="shared" ref="BJ9:BJ23" si="29">AP9+AR9+AT9+AV9+AX9+AZ9+BB9+BD9+BF9+BH9</f>
        <v>0</v>
      </c>
      <c r="BK9" s="173">
        <f t="shared" ref="BK9:BK23" si="30">AQ9+AS9+AU9+AW9+AY9+BA9+BC9+BE9+BG9+BI9</f>
        <v>0</v>
      </c>
      <c r="BL9" s="171"/>
      <c r="BM9" s="174"/>
      <c r="BN9" s="174"/>
      <c r="BO9" s="171"/>
      <c r="BP9" s="171"/>
      <c r="BQ9" s="171"/>
      <c r="BR9" s="177">
        <v>2</v>
      </c>
      <c r="BS9" s="174">
        <f t="shared" ref="BS9:BS23" si="31">BM9+BO9-BQ9</f>
        <v>0</v>
      </c>
      <c r="BT9" s="174">
        <f t="shared" ref="BT9:BT23" si="32">BN9+BP9-BR9</f>
        <v>-2</v>
      </c>
      <c r="BU9" s="173">
        <f t="shared" ref="BU9:BU23" si="33">IFERROR(IF(J9&gt;1,L9*BQ9,),)</f>
        <v>0</v>
      </c>
      <c r="BV9" s="173">
        <f t="shared" ref="BV9:BV23" si="34">IFERROR(IF(J9&gt;1,L9*BR9,),)</f>
        <v>1153.8461538461538</v>
      </c>
      <c r="BW9" s="171"/>
      <c r="BX9" s="171"/>
      <c r="BY9" s="171"/>
      <c r="BZ9" s="171"/>
      <c r="CA9" s="171"/>
      <c r="CB9" s="171"/>
      <c r="CC9" s="171"/>
      <c r="CD9" s="171"/>
      <c r="CE9" s="171"/>
      <c r="CF9" s="171"/>
      <c r="CG9" s="171"/>
      <c r="CH9" s="174">
        <f t="shared" ref="CH9:CH23" si="35">-M9*CG9</f>
        <v>0</v>
      </c>
      <c r="CI9" s="175">
        <v>20</v>
      </c>
      <c r="CJ9" s="174">
        <f t="shared" ref="CJ9:CJ23" si="36">-N9*CI9</f>
        <v>-24.038461538461537</v>
      </c>
      <c r="CK9" s="175"/>
      <c r="CL9" s="174">
        <f t="shared" ref="CL9:CL23" si="37">-N9*CK9</f>
        <v>0</v>
      </c>
      <c r="CM9" s="171">
        <f t="shared" ref="CM9:CM23" si="38">J9-K9</f>
        <v>3</v>
      </c>
      <c r="CN9" s="177">
        <f t="shared" ref="CN9:CN23" si="39">-L9*CM9</f>
        <v>-1730.7692307692307</v>
      </c>
      <c r="CO9" s="173">
        <f t="shared" ref="CO9:CO23" si="40">+CH9+CJ9+CL9+CN9</f>
        <v>-1754.8076923076922</v>
      </c>
      <c r="CP9" s="176">
        <f t="shared" ref="CP9:CP23" si="41">O9+Q9+W9+AO9+BK9+BL9+BW9+BX9+BY9+BZ9+CA9+CB9+CC9+CF9+BV9+BU9+CO9</f>
        <v>6899.0384615384619</v>
      </c>
      <c r="CQ9" s="187" t="str">
        <f>_xlfn.IFNA(VLOOKUP(B9,'[1]201'!$E$7:$H$66,2,FALSE),"")</f>
        <v/>
      </c>
      <c r="CR9" s="187" t="str">
        <f>_xlfn.IFNA(VLOOKUP(B9,'[1]201'!$E$7:$H$66,3,FALSE),"")</f>
        <v/>
      </c>
      <c r="CS9" s="187" t="str">
        <f>_xlfn.IFNA(VLOOKUP(B9,'[1]201'!$E$7:$H$66,4,FALSE),"")</f>
        <v/>
      </c>
      <c r="CT9" s="179"/>
      <c r="CU9" s="179"/>
      <c r="CV9" s="179"/>
      <c r="CW9" s="180">
        <v>675</v>
      </c>
      <c r="CX9" s="181">
        <v>1425</v>
      </c>
      <c r="CY9" s="182">
        <v>10</v>
      </c>
      <c r="CZ9" s="176">
        <f t="shared" ref="CZ9:CZ23" si="42">SUM(CW9:CY9)</f>
        <v>2110</v>
      </c>
      <c r="DA9" s="181">
        <f t="shared" ref="DA9:DA23" si="43">(H9*4%)/2</f>
        <v>300</v>
      </c>
      <c r="DB9" s="182">
        <f t="shared" ref="DB9:DB23" si="44">DA9</f>
        <v>300</v>
      </c>
      <c r="DC9" s="176">
        <f t="shared" ref="DC9:DC23" si="45">SUM(DA9:DB9)</f>
        <v>600</v>
      </c>
      <c r="DD9" s="181">
        <v>100</v>
      </c>
      <c r="DE9" s="182">
        <v>100</v>
      </c>
      <c r="DF9" s="176">
        <f t="shared" ref="DF9:DF23" si="46">SUM(DD9:DE9)</f>
        <v>200</v>
      </c>
      <c r="DG9" s="176">
        <f>CW9+DA9+DD9</f>
        <v>1075</v>
      </c>
      <c r="DH9" s="221"/>
      <c r="DI9" s="183"/>
      <c r="DJ9" s="221"/>
      <c r="DK9" s="183"/>
      <c r="DL9" s="176">
        <f t="shared" ref="DL9:DL23" si="47">+DH9+DI9+DJ9+DK9</f>
        <v>0</v>
      </c>
      <c r="DM9" s="183"/>
      <c r="DN9" s="183"/>
      <c r="DO9" s="183"/>
      <c r="DP9" s="183"/>
      <c r="DQ9" s="172">
        <f t="shared" ref="DQ9:DQ23" si="48">+DM9+DN9+DO9+DP9</f>
        <v>0</v>
      </c>
      <c r="DR9" s="179"/>
      <c r="DS9" s="179"/>
      <c r="DT9" s="175"/>
      <c r="DU9" s="179"/>
      <c r="DV9" s="179"/>
      <c r="DW9" s="254">
        <v>-379.16</v>
      </c>
      <c r="DX9" s="218"/>
      <c r="DY9" s="173">
        <f t="shared" ref="DY9:DY23" si="49">+DR9+DS9+DU9+DV9+DW9+DX9</f>
        <v>-379.16</v>
      </c>
      <c r="DZ9" s="179">
        <v>799</v>
      </c>
      <c r="EA9" s="215"/>
      <c r="EB9" s="215"/>
      <c r="EC9" s="175"/>
      <c r="ED9" s="179"/>
      <c r="EE9" s="219">
        <v>250</v>
      </c>
      <c r="EF9" s="185">
        <f t="shared" ref="EF9:EF23" si="50">SUM(DZ9:EE9)</f>
        <v>1049</v>
      </c>
      <c r="EG9" s="176">
        <f t="shared" ref="EG9:EG23" si="51">+DG9+DL9+DQ9+DY9+EF9</f>
        <v>1744.84</v>
      </c>
      <c r="EH9" s="176">
        <f t="shared" ref="EH9:EH23" si="52">+CP9+(-EG9)</f>
        <v>5154.1984615384617</v>
      </c>
      <c r="EI9" s="176">
        <f t="shared" ref="EI9:EI23" si="53">O9+Q9+W9+AO9+BK9+DG9</f>
        <v>8575</v>
      </c>
      <c r="EJ9" s="176">
        <f t="shared" ref="EJ9:EJ23" si="54">-IF($EJ$8=1,IF(O9&lt;10417,0,IF(O9&lt;16667,((O9-10417)*0.2),IF(O9&lt;33333,((O9-16667)*0.25)+1250,IF(O9&lt;83333,((O9-33333)*0.3)+5416.67,IF(O9&lt;333333,((O9-83333)*0.32)+20416.67,((O9-333333)*0.35)+100416.67))))),0)</f>
        <v>0</v>
      </c>
      <c r="EK9" s="176">
        <f t="shared" ref="EK9:EK23" si="55">-IF($EK$8=1,IF(EI9&lt;10417,0,IF(EI9&lt;16667,((EI9-10417)*0.2),IF(EI9&lt;33333,((EI9-16667)*0.25)+1250,IF(EI9&lt;83333,((EI9-33333)*0.3)+5416.67,IF(EI9&lt;333333,((EI9-83333)*0.32)+20416.67,((EI9-333333)*0.35)+100416.67))))),0)</f>
        <v>0</v>
      </c>
      <c r="EL9" s="176">
        <f t="shared" ref="EL9:EL23" si="56">-IF($EL$8=1,IF(EH9&lt;10417,0,IF(EH9&lt;16667,((EH9-10417)*0.2),IF(EH9&lt;33333,((EH9-16667)*0.25)+1250,IF(EH9&lt;83333,((EH9-33333)*0.3)+5416.67,IF(EH9&lt;333333,((EH9-83333)*0.32)+20416.67,((EH9-333333)*0.35)+100416.67))))),0)</f>
        <v>0</v>
      </c>
      <c r="EM9" s="176">
        <f t="shared" ref="EM9:EM23" si="57">EH9+EJ9+EK9+EL9</f>
        <v>5154.1984615384617</v>
      </c>
      <c r="EN9" s="177">
        <f t="shared" ref="EN9:EN23" si="58">+(J9*L9+BV9+CO9)/12</f>
        <v>574.91987179487182</v>
      </c>
      <c r="EO9" s="234" t="s">
        <v>208</v>
      </c>
      <c r="EP9" s="214">
        <f t="shared" ref="EP9:EP24" si="59">+(J9*L9+BV9+CO9)/12</f>
        <v>574.91987179487182</v>
      </c>
      <c r="EQ9" s="83">
        <f>IFERROR(O9+IFERROR(VLOOKUP(B9,'[1]Mar1 Payroll'!$B$9:$FJ$68,131,FALSE),),0)</f>
        <v>7500</v>
      </c>
      <c r="ER9" s="83">
        <f>IFERROR(Q9+W9+AO9+BK9+BL9+IFERROR(VLOOKUP(B9,'[1]Mar1 Payroll'!$B$9:$FJ$68,132,FALSE),),)</f>
        <v>0</v>
      </c>
      <c r="ES9" s="83">
        <f t="array" ref="ES9">IFERROR(IF(BX9+CB9+CD9+CE9+CF9+EN9+IFERROR(SUM(VLOOKUP(B9,'[1]Mar1 Payroll'!$B$9:$FJ$68,{133,137,140,141,144,146,147,148},FALSE)),)&gt;90000,EN9+IFERROR(SUM(VLOOKUP(B9,'[1]Mar1 Payroll'!$B$9:$FJ$68,{133,144},FALSE)),),IF(BX9+CB9+CD9+CE9+CF9+EN9+IFERROR(SUM(VLOOKUP(B9,'[1]Mar1 Payroll'!$B$9:$EK$68,{133,137,140,141,144,146,147,148},FALSE)),)&lt;90000,0,0)),0)</f>
        <v>0</v>
      </c>
      <c r="ET9" s="83">
        <f>IFERROR(BW9+IFERROR(VLOOKUP(B9,'[1]Mar1 Payroll'!$B$9:$FJ$68,134,FALSE),),0)</f>
        <v>0</v>
      </c>
      <c r="EU9" s="83">
        <f>IFERROR(BU9+IFERROR(VLOOKUP(B9,'[1]Mar1 Payroll'!$B$9:$FJ$68,135,FALSE),),0)</f>
        <v>0</v>
      </c>
      <c r="EV9" s="83">
        <f>IFERROR(BV9+IFERROR(VLOOKUP(B9,'[1]Mar1 Payroll'!$B$9:$FJ$68,136,FALSE),),0)</f>
        <v>1153.8461538461538</v>
      </c>
      <c r="EW9" s="83">
        <f t="array" ref="EW9">IFERROR(IF(BX9+CB9+CD9+CE9+CF9+EN9+IFERROR(SUM(VLOOKUP(B9,'[1]Mar1 Payroll'!$B$9:$FJ$68,{133,137,140,141,144,146,147,148},FALSE)),)&gt;90000,BX9+IFERROR(SUM(VLOOKUP(B9,'[1]Mar1 Payroll'!$B$9:$FJ$68,{137,147},FALSE)),),IF(BX9+CB9+CD9+CE9+CF9+EN9+IFERROR(SUM(VLOOKUP(B9,'[1]Mar1 Payroll'!$B$9:$EK$68,{133,137,140,141,144,146,147,148},FALSE)),)&lt;90000,0,0)),0)</f>
        <v>0</v>
      </c>
      <c r="EX9" s="83">
        <f>IFERROR(BY9+IFERROR(VLOOKUP(B9,'[1]Mar1 Payroll'!$B$9:$FJ$68,138,FALSE),),0)</f>
        <v>0</v>
      </c>
      <c r="EY9" s="83">
        <f>IFERROR(BZ9+IFERROR(VLOOKUP(B9,'[1]Mar1 Payroll'!$B$9:$FJ$68,139,FALSE),),0)</f>
        <v>0</v>
      </c>
      <c r="EZ9" s="83">
        <f t="array" ref="EZ9">IFERROR(IF(BX9+CB9+CD9+CE9+CF9+EN9+IFERROR(SUM(VLOOKUP(B9,'[1]Mar1 Payroll'!$B$9:$FJ$68,{133,137,140,141,144,146,147,148},FALSE)),)&gt;90000,CB9+IFERROR(SUM(VLOOKUP(B9,'[1]Mar1 Payroll'!$B$9:$FJ$68,{140,146},FALSE)),),IF(BX9+CB9+CD9+CE9+CF9+EN9+IFERROR(SUM(VLOOKUP(B9,'[1]Mar1 Payroll'!$B$9:$EK$68,{133,137,140,141,144,146,147,148},FALSE)),)&lt;90000,0,0)),0)</f>
        <v>0</v>
      </c>
      <c r="FA9" s="83">
        <f t="array" ref="FA9">IFERROR(IF(BX9+CB9+CD9+CE9+CF9+EN9+IFERROR(SUM(VLOOKUP(B9,'[1]Mar1 Payroll'!$B$9:$FJ$68,{133,137,140,141,144,146,147,148},FALSE)),)&gt;90000,CD9+CE9+CF9+IFERROR(SUM(VLOOKUP(B9,'[1]Mar1 Payroll'!$B$9:$FJ$68,{141,148},FALSE)),),IF(BX9+CB9+CD9+CE9+CF9+EN9+IFERROR(SUM(VLOOKUP(B9,'[1]Mar1 Payroll'!$B$9:$EK$68,{133,137,140,141,144,146,147,148},FALSE)),)&lt;90000,0,0)),0)</f>
        <v>0</v>
      </c>
      <c r="FB9" s="83">
        <f t="shared" ref="FB9:FB24" si="60">IF(ES9+EW9+EZ9+FA9&gt;90000,(ES9+EW9+FA9+EZ9)-90000,0)</f>
        <v>0</v>
      </c>
      <c r="FC9" s="83">
        <f t="shared" ref="FC9:FC24" si="61">SUM(ET9:FA9)</f>
        <v>1153.8461538461538</v>
      </c>
      <c r="FD9" s="83">
        <f t="array" ref="FD9">IFERROR(IF(BX9+CB9+CD9+CE9+CF9+EN9+IFERROR(SUM(VLOOKUP(B9,'[1]Mar1 Payroll'!$B$9:$FJ$68,{133,137,140,141,144,146,147,148},FALSE)),)&gt;90000,0,IF(BX9+CB9+CD9+CE9+CF9+EN9+IFERROR(SUM(VLOOKUP(B9,'[1]Mar1 Payroll'!$B$9:$EK$68,{133,137,140,141,144,146,147,148},FALSE)),)&lt;90000,EN9+IFERROR(SUM(VLOOKUP(B9,'[1]Mar1 Payroll'!$B$9:$FJ$68,{133,144},FALSE)),),)),)</f>
        <v>574.91987179487182</v>
      </c>
      <c r="FE9" s="83">
        <f>IFERROR(CC9+IFERROR(VLOOKUP(B9,'[1]Mar1 Payroll'!$B$9:$FJ$68,145,FALSE),),0)</f>
        <v>0</v>
      </c>
      <c r="FF9" s="83">
        <f t="array" ref="FF9">IFERROR(IF(BX9+CB9+CD9+CE9+CF9+EN9+IFERROR(SUM(VLOOKUP(B9,'[1]Mar1 Payroll'!$B$9:$FJ$68,{133,137,140,141,144,146,147,148},FALSE)),)&gt;90000,0,IF(BX9+CB9+CD9+CE9+CF9+EN9+IFERROR(SUM(VLOOKUP(B9,'[1]Mar1 Payroll'!$B$9:$EK$68,{133,137,140,141,144,146,147,148},FALSE)),)&lt;90000,CB9+IFERROR(SUM(VLOOKUP(B9,'[1]Mar1 Payroll'!$B$9:$FJ$68,{140,146},FALSE)),))),0)</f>
        <v>0</v>
      </c>
      <c r="FG9" s="83">
        <f t="array" ref="FG9">IFERROR(IF(BX9+CB9+CD9+CE9+CF9+EN9+IFERROR(SUM(VLOOKUP(B9,'[1]Mar1 Payroll'!$B$9:$FJ$68,{133,137,140,141,144,146,147,148},FALSE)),)&gt;90000,0,IF(BX9+CB9+CD9+CE9+CF9+EN9+IFERROR(SUM(VLOOKUP(B9,'[1]Mar1 Payroll'!$B$9:$EK$68,{133,137,140,141,144,146,147,148},FALSE)),)&lt;90000,BX9+IFERROR(SUM(VLOOKUP(B9,'[1]Mar1 Payroll'!$B$9:$FJ$68,{137,147},FALSE)),))),0)</f>
        <v>0</v>
      </c>
      <c r="FH9" s="83">
        <f t="array" ref="FH9">IFERROR(IF(BX9+CB9+CD9+CE9+CF9+EN9+IFERROR(SUM(VLOOKUP(B9,'[1]Mar1 Payroll'!$B$9:$FJ$68,{133,137,140,141,144,146,147,148},FALSE)),)&gt;90000,0,IF(BX9+CB9+CD9+CE9+CF9+EN9+IFERROR(SUM(VLOOKUP(B9,'[1]Mar1 Payroll'!$B$9:$EK$68,{133,137,140,141,144,146,147,148},FALSE)),)&lt;90000,CD9+CE9+CF9+IFERROR(SUM(VLOOKUP(B9,'[1]Mar1 Payroll'!$B$9:$FJ$68,{141,148},FALSE)),))),0)</f>
        <v>0</v>
      </c>
      <c r="FI9" s="83">
        <f t="shared" ref="FI9:FI24" si="62">SUM(FE9:FH9)</f>
        <v>0</v>
      </c>
      <c r="FJ9" s="83">
        <f t="shared" ref="FJ9:FJ24" si="63">EQ9+ER9+FC9+FI9</f>
        <v>8653.8461538461543</v>
      </c>
      <c r="FK9" s="83">
        <f>IFERROR(EJ9+EK9+EL9+IFERROR(VLOOKUP(B9,'[1]Mar1 Payroll'!$B$9:$FJ$68,151,FALSE),),0)</f>
        <v>0</v>
      </c>
      <c r="FL9" s="83">
        <f>IFERROR(CY9+IFERROR(VLOOKUP(B9,'[1]Mar1 Payroll'!$B$9:$FJ$68,152,FALSE),),0)</f>
        <v>10</v>
      </c>
      <c r="FM9" s="83">
        <f>IFERROR(DA9+DB9+IFERROR(VLOOKUP(B9,'[1]Mar1 Payroll'!$B$9:$FJ$68,153,FALSE),),0)</f>
        <v>600</v>
      </c>
      <c r="FN9" s="83">
        <f>IFERROR(DD9+DE9+IFERROR(VLOOKUP(B9,'[1]Mar1 Payroll'!$B$9:$FJ$68,154,FALSE),),0)</f>
        <v>200</v>
      </c>
      <c r="FO9" s="83">
        <f>IFERROR(CO9+IFERROR(VLOOKUP(B9,'[1]Mar1 Payroll'!$B$9:$FJ$68,155,FALSE),),0)</f>
        <v>-1754.8076923076922</v>
      </c>
      <c r="FP9" s="83">
        <f>IFERROR(DZ9+EA9+EF9+IFERROR(VLOOKUP(B9,'[1]Mar1 Payroll'!$B$9:$FJ$68,156,FALSE),),0)</f>
        <v>1848</v>
      </c>
      <c r="FQ9" s="83">
        <f>IFERROR(DH9+IFERROR(VLOOKUP(B9,'[1]Mar1 Payroll'!$B$9:$FJ$68,157,FALSE),),0)</f>
        <v>0</v>
      </c>
      <c r="FR9" s="83">
        <f>IFERROR(DI9+IFERROR(VLOOKUP(B9,'[1]Mar1 Payroll'!$B$9:$FJ$68,158,FALSE),),0)</f>
        <v>0</v>
      </c>
      <c r="FS9" s="83">
        <f>IFERROR(DK9+IFERROR(VLOOKUP(B9,'[1]Mar1 Payroll'!$B$9:$FJ$68,159,FALSE),),0)</f>
        <v>0</v>
      </c>
      <c r="FT9" s="83">
        <f>IFERROR(DM9+IFERROR(VLOOKUP(B9,'[1]Mar1 Payroll'!$B$9:$FJ$68,160,FALSE),),0)</f>
        <v>0</v>
      </c>
      <c r="FU9" s="83">
        <f>IFERROR(DN9+IFERROR(VLOOKUP(B9,'[1]Mar1 Payroll'!$B$9:$FJ$68,161,FALSE),),0)</f>
        <v>0</v>
      </c>
      <c r="FV9" s="83">
        <f>IFERROR(DO9+IFERROR(VLOOKUP(B9,'[1]Mar1 Payroll'!$B$9:$FJ$68,162,FALSE),),0)</f>
        <v>0</v>
      </c>
      <c r="FW9" s="83">
        <f>IFERROR(DP9+IFERROR(VLOOKUP(B9,'[1]Mar1 Payroll'!$B$9:$FJ$68,163,FALSE),),0)</f>
        <v>0</v>
      </c>
      <c r="FX9" s="83">
        <f t="shared" ref="FX9:FX24" si="64">SUM(FK9:FS9)</f>
        <v>903.19230769230785</v>
      </c>
      <c r="FY9" s="84">
        <f t="shared" ref="FY9:FY24" si="65">FJ9+FX9</f>
        <v>9557.0384615384628</v>
      </c>
      <c r="FZ9" s="85"/>
      <c r="GA9" s="85"/>
      <c r="GB9" s="86">
        <f t="shared" ref="GB9:GB24" si="66">EQ9</f>
        <v>7500</v>
      </c>
      <c r="GC9" s="83">
        <f t="shared" ref="GC9:GC24" si="67">ER9</f>
        <v>0</v>
      </c>
      <c r="GD9" s="83">
        <f t="shared" ref="GD9:GD24" si="68">IFERROR(IF(GO9+GQ9+GR9+GS9=90000,ES9-GO9,),)</f>
        <v>0</v>
      </c>
      <c r="GE9" s="83">
        <f t="shared" ref="GE9:GE24" si="69">ET9</f>
        <v>0</v>
      </c>
      <c r="GF9" s="83">
        <f t="shared" ref="GF9:GF24" si="70">EU9</f>
        <v>0</v>
      </c>
      <c r="GG9" s="83">
        <f t="shared" ref="GG9:GG24" si="71">EV9</f>
        <v>1153.8461538461538</v>
      </c>
      <c r="GH9" s="83">
        <f t="shared" ref="GH9:GH24" si="72">IFERROR(IF(GO9+GQ9+GR9+GS9=90000,EW9-GR9,),)</f>
        <v>0</v>
      </c>
      <c r="GI9" s="83">
        <f t="shared" ref="GI9:GI24" si="73">EX9</f>
        <v>0</v>
      </c>
      <c r="GJ9" s="83">
        <f t="shared" ref="GJ9:GJ24" si="74">EY9</f>
        <v>0</v>
      </c>
      <c r="GK9" s="83">
        <f t="shared" ref="GK9:GK24" si="75">IFERROR(IF(GO9+GQ9+GR9+GS9=90000,EZ9-GQ9,),)</f>
        <v>0</v>
      </c>
      <c r="GL9" s="83">
        <f t="shared" ref="GL9:GL24" si="76">IFERROR(IF(GO9+GQ9+GR9+GS9=90000,FA9-GS9,),)</f>
        <v>0</v>
      </c>
      <c r="GM9" s="83">
        <f t="shared" ref="GM9:GM24" si="77">GD9+GH9+GK9+GL9</f>
        <v>0</v>
      </c>
      <c r="GN9" s="83">
        <f t="shared" ref="GN9:GN24" si="78">SUM(GE9:GL9)</f>
        <v>1153.8461538461538</v>
      </c>
      <c r="GO9" s="83">
        <f t="shared" ref="GO9:GO24" si="79">IFERROR(FD9+IFERROR((ES9*(90000/(ES9+EW9+EZ9+FA9))),),)</f>
        <v>574.91987179487182</v>
      </c>
      <c r="GP9" s="83">
        <f t="shared" ref="GP9:GP24" si="80">FE9</f>
        <v>0</v>
      </c>
      <c r="GQ9" s="83">
        <f t="shared" ref="GQ9:GQ24" si="81">IFERROR(FF9+IFERROR((EZ9*(90000/(ES9+EW9+EZ9+FA9))),),)</f>
        <v>0</v>
      </c>
      <c r="GR9" s="83">
        <f t="shared" ref="GR9:GR24" si="82">IFERROR(FG9+IFERROR((EW9*(90000/(ES9+EW9+EZ9+FA9))),),)</f>
        <v>0</v>
      </c>
      <c r="GS9" s="83">
        <f t="shared" ref="GS9:GS24" si="83">IFERROR(FH9+IFERROR((FA9*(90000/ES9+EW9+EZ9+FA9)),),)</f>
        <v>0</v>
      </c>
      <c r="GT9" s="83">
        <f t="shared" ref="GT9:GT24" si="84">SUM(GP9:GS9)</f>
        <v>0</v>
      </c>
      <c r="GU9" s="83">
        <f t="shared" ref="GU9:GU24" si="85">GB9+GC9+GN9+GT9</f>
        <v>8653.8461538461543</v>
      </c>
      <c r="GV9" s="83">
        <f t="shared" ref="GV9:GV23" si="86">FK9</f>
        <v>0</v>
      </c>
      <c r="GW9" s="83">
        <f t="shared" ref="GW9:GW23" si="87">FL9</f>
        <v>10</v>
      </c>
      <c r="GX9" s="83">
        <f t="shared" ref="GX9:GX23" si="88">FM9</f>
        <v>600</v>
      </c>
      <c r="GY9" s="83">
        <f t="shared" ref="GY9:GY23" si="89">FN9</f>
        <v>200</v>
      </c>
      <c r="GZ9" s="83">
        <f t="shared" ref="GZ9:GZ23" si="90">FO9</f>
        <v>-1754.8076923076922</v>
      </c>
      <c r="HA9" s="83">
        <f t="shared" ref="HA9:HA23" si="91">FP9</f>
        <v>1848</v>
      </c>
      <c r="HB9" s="83">
        <f t="shared" ref="HB9:HB23" si="92">FQ9</f>
        <v>0</v>
      </c>
      <c r="HC9" s="83">
        <f t="shared" ref="HC9:HC23" si="93">FR9</f>
        <v>0</v>
      </c>
      <c r="HD9" s="83">
        <f t="shared" ref="HD9:HD23" si="94">FS9</f>
        <v>0</v>
      </c>
      <c r="HE9" s="83">
        <f t="shared" ref="HE9:HE23" si="95">FT9</f>
        <v>0</v>
      </c>
      <c r="HF9" s="83">
        <f t="shared" ref="HF9:HF23" si="96">FU9</f>
        <v>0</v>
      </c>
      <c r="HG9" s="83">
        <f t="shared" ref="HG9:HG23" si="97">FV9</f>
        <v>0</v>
      </c>
      <c r="HH9" s="83">
        <f t="shared" ref="HH9:HH23" si="98">FW9</f>
        <v>0</v>
      </c>
      <c r="HI9" s="83">
        <f t="shared" ref="HI9:HI24" si="99">SUM(GV9:HH9)</f>
        <v>903.19230769230785</v>
      </c>
      <c r="HJ9" s="87">
        <f t="shared" ref="HJ9:HJ24" si="100">GU9+HI9</f>
        <v>9557.0384615384628</v>
      </c>
      <c r="HK9" s="85" t="s">
        <v>171</v>
      </c>
      <c r="HL9" s="88">
        <f t="shared" ref="HL9:HL24" si="101">+CP9-DG9-DR9-DS9-DT9-DU9-DV9-DW9-DX9-DZ9-EA9-EB9-EC9-ED9</f>
        <v>5404.1984615384617</v>
      </c>
      <c r="HM9" s="88">
        <f t="shared" ref="HM9:HM24" si="102">+EM9-HL9</f>
        <v>-250</v>
      </c>
      <c r="HN9" s="88"/>
      <c r="HO9" s="89">
        <v>2</v>
      </c>
      <c r="HP9" s="91">
        <f t="shared" ref="HP9:HP23" si="103">J9*L9+CO9</f>
        <v>5745.1923076923076</v>
      </c>
      <c r="HQ9" s="91">
        <f t="shared" ref="HQ9:HQ23" si="104">+K9*L9+Q9+Y9+AA9+AQ9+AS9+BC9+BE9+BV9+CJ9-DH9-DJ9-DZ9</f>
        <v>6100.0384615384619</v>
      </c>
      <c r="HR9" s="91">
        <f t="shared" ref="HR9:HR23" si="105">+EM9-HQ9</f>
        <v>-945.84000000000015</v>
      </c>
    </row>
    <row r="10" spans="1:232" ht="15.75" customHeight="1" thickBot="1" x14ac:dyDescent="0.3">
      <c r="A10" s="217" t="s">
        <v>225</v>
      </c>
      <c r="B10" s="241" t="s">
        <v>232</v>
      </c>
      <c r="C10" s="169" t="s">
        <v>187</v>
      </c>
      <c r="D10" s="183"/>
      <c r="E10" s="169" t="s">
        <v>233</v>
      </c>
      <c r="F10" s="170" t="s">
        <v>195</v>
      </c>
      <c r="G10" s="171" t="s">
        <v>170</v>
      </c>
      <c r="H10" s="223">
        <v>12000</v>
      </c>
      <c r="I10" s="172">
        <f t="shared" si="0"/>
        <v>0</v>
      </c>
      <c r="J10" s="175">
        <v>13</v>
      </c>
      <c r="K10" s="251">
        <v>13</v>
      </c>
      <c r="L10" s="180">
        <f t="shared" si="1"/>
        <v>461.53846153846155</v>
      </c>
      <c r="M10" s="180">
        <f t="shared" si="2"/>
        <v>57.692307692307693</v>
      </c>
      <c r="N10" s="180">
        <f t="shared" si="3"/>
        <v>0.96153846153846156</v>
      </c>
      <c r="O10" s="174">
        <f t="shared" si="4"/>
        <v>6000</v>
      </c>
      <c r="P10" s="175"/>
      <c r="Q10" s="174">
        <f t="shared" si="5"/>
        <v>0</v>
      </c>
      <c r="R10" s="175"/>
      <c r="S10" s="174">
        <f>(M10*1.3)*R10</f>
        <v>0</v>
      </c>
      <c r="T10" s="171"/>
      <c r="U10" s="174">
        <f t="shared" si="6"/>
        <v>0</v>
      </c>
      <c r="V10" s="173">
        <f t="shared" si="7"/>
        <v>0</v>
      </c>
      <c r="W10" s="173">
        <f t="shared" si="8"/>
        <v>0</v>
      </c>
      <c r="X10" s="171"/>
      <c r="Y10" s="174">
        <f t="shared" si="9"/>
        <v>0</v>
      </c>
      <c r="Z10" s="171"/>
      <c r="AA10" s="174">
        <f t="shared" si="10"/>
        <v>0</v>
      </c>
      <c r="AB10" s="171"/>
      <c r="AC10" s="174">
        <f t="shared" si="11"/>
        <v>0</v>
      </c>
      <c r="AD10" s="171"/>
      <c r="AE10" s="174">
        <f t="shared" si="12"/>
        <v>0</v>
      </c>
      <c r="AF10" s="175"/>
      <c r="AG10" s="174">
        <f t="shared" si="13"/>
        <v>0</v>
      </c>
      <c r="AH10" s="171"/>
      <c r="AI10" s="174">
        <f t="shared" si="14"/>
        <v>0</v>
      </c>
      <c r="AJ10" s="171"/>
      <c r="AK10" s="174">
        <f t="shared" si="15"/>
        <v>0</v>
      </c>
      <c r="AL10" s="171"/>
      <c r="AM10" s="174">
        <f t="shared" si="16"/>
        <v>0</v>
      </c>
      <c r="AN10" s="173">
        <f t="shared" si="17"/>
        <v>0</v>
      </c>
      <c r="AO10" s="173">
        <f t="shared" si="18"/>
        <v>0</v>
      </c>
      <c r="AP10" s="171"/>
      <c r="AQ10" s="174">
        <f t="shared" si="19"/>
        <v>0</v>
      </c>
      <c r="AR10" s="171"/>
      <c r="AS10" s="174">
        <f t="shared" si="20"/>
        <v>0</v>
      </c>
      <c r="AT10" s="171"/>
      <c r="AU10" s="174">
        <f t="shared" si="21"/>
        <v>0</v>
      </c>
      <c r="AV10" s="171"/>
      <c r="AW10" s="228">
        <f t="shared" si="22"/>
        <v>0</v>
      </c>
      <c r="AX10" s="171"/>
      <c r="AY10" s="174">
        <f t="shared" si="23"/>
        <v>0</v>
      </c>
      <c r="AZ10" s="171"/>
      <c r="BA10" s="174">
        <f t="shared" si="24"/>
        <v>0</v>
      </c>
      <c r="BB10" s="171"/>
      <c r="BC10" s="174">
        <f t="shared" si="25"/>
        <v>0</v>
      </c>
      <c r="BD10" s="171"/>
      <c r="BE10" s="174">
        <f t="shared" si="26"/>
        <v>0</v>
      </c>
      <c r="BF10" s="171"/>
      <c r="BG10" s="174">
        <f t="shared" si="27"/>
        <v>0</v>
      </c>
      <c r="BH10" s="171"/>
      <c r="BI10" s="174">
        <f t="shared" si="28"/>
        <v>0</v>
      </c>
      <c r="BJ10" s="176">
        <f t="shared" si="29"/>
        <v>0</v>
      </c>
      <c r="BK10" s="173">
        <f t="shared" si="30"/>
        <v>0</v>
      </c>
      <c r="BL10" s="171"/>
      <c r="BM10" s="174"/>
      <c r="BN10" s="174"/>
      <c r="BO10" s="171"/>
      <c r="BP10" s="171"/>
      <c r="BQ10" s="171"/>
      <c r="BR10" s="171"/>
      <c r="BS10" s="174">
        <f t="shared" si="31"/>
        <v>0</v>
      </c>
      <c r="BT10" s="174">
        <f t="shared" si="32"/>
        <v>0</v>
      </c>
      <c r="BU10" s="173">
        <f t="shared" si="33"/>
        <v>0</v>
      </c>
      <c r="BV10" s="173">
        <f t="shared" si="34"/>
        <v>0</v>
      </c>
      <c r="BW10" s="171"/>
      <c r="BX10" s="171"/>
      <c r="BY10" s="171"/>
      <c r="BZ10" s="171"/>
      <c r="CA10" s="171"/>
      <c r="CB10" s="171"/>
      <c r="CC10" s="171"/>
      <c r="CD10" s="171"/>
      <c r="CE10" s="171"/>
      <c r="CF10" s="171"/>
      <c r="CG10" s="171"/>
      <c r="CH10" s="174">
        <f t="shared" si="35"/>
        <v>0</v>
      </c>
      <c r="CI10" s="175"/>
      <c r="CJ10" s="174">
        <f t="shared" si="36"/>
        <v>0</v>
      </c>
      <c r="CK10" s="175"/>
      <c r="CL10" s="174">
        <f t="shared" si="37"/>
        <v>0</v>
      </c>
      <c r="CM10" s="171">
        <f t="shared" si="38"/>
        <v>0</v>
      </c>
      <c r="CN10" s="177">
        <f t="shared" si="39"/>
        <v>0</v>
      </c>
      <c r="CO10" s="173">
        <f t="shared" si="40"/>
        <v>0</v>
      </c>
      <c r="CP10" s="176">
        <f t="shared" si="41"/>
        <v>6000</v>
      </c>
      <c r="CQ10" s="187" t="str">
        <f>_xlfn.IFNA(VLOOKUP(B10,'[1]201'!$E$7:$H$66,2,FALSE),"")</f>
        <v/>
      </c>
      <c r="CR10" s="187" t="str">
        <f>_xlfn.IFNA(VLOOKUP(B10,'[1]201'!$E$7:$H$66,3,FALSE),"")</f>
        <v/>
      </c>
      <c r="CS10" s="187" t="str">
        <f>_xlfn.IFNA(VLOOKUP(B10,'[1]201'!$E$7:$H$66,4,FALSE),"")</f>
        <v/>
      </c>
      <c r="CT10" s="179"/>
      <c r="CU10" s="179"/>
      <c r="CV10" s="179"/>
      <c r="CW10" s="180">
        <v>540</v>
      </c>
      <c r="CX10" s="181">
        <v>1140</v>
      </c>
      <c r="CY10" s="182">
        <v>10</v>
      </c>
      <c r="CZ10" s="176">
        <f t="shared" si="42"/>
        <v>1690</v>
      </c>
      <c r="DA10" s="181">
        <f t="shared" si="43"/>
        <v>240</v>
      </c>
      <c r="DB10" s="182">
        <f t="shared" si="44"/>
        <v>240</v>
      </c>
      <c r="DC10" s="176">
        <f t="shared" si="45"/>
        <v>480</v>
      </c>
      <c r="DD10" s="181">
        <v>100</v>
      </c>
      <c r="DE10" s="182">
        <v>100</v>
      </c>
      <c r="DF10" s="176">
        <f t="shared" si="46"/>
        <v>200</v>
      </c>
      <c r="DG10" s="176">
        <f t="shared" ref="DG10:DG23" si="106">CW10+DA10+DD10</f>
        <v>880</v>
      </c>
      <c r="DH10" s="215"/>
      <c r="DI10" s="183"/>
      <c r="DJ10" s="215"/>
      <c r="DK10" s="183"/>
      <c r="DL10" s="176">
        <f t="shared" si="47"/>
        <v>0</v>
      </c>
      <c r="DM10" s="183"/>
      <c r="DN10" s="183"/>
      <c r="DO10" s="183"/>
      <c r="DP10" s="183"/>
      <c r="DQ10" s="172">
        <f t="shared" si="48"/>
        <v>0</v>
      </c>
      <c r="DR10" s="179"/>
      <c r="DS10" s="179"/>
      <c r="DT10" s="175"/>
      <c r="DU10" s="179"/>
      <c r="DV10" s="179"/>
      <c r="DW10" s="218"/>
      <c r="DX10" s="218"/>
      <c r="DY10" s="173">
        <f t="shared" si="49"/>
        <v>0</v>
      </c>
      <c r="DZ10" s="179"/>
      <c r="EA10" s="215"/>
      <c r="EB10" s="215"/>
      <c r="EC10" s="175"/>
      <c r="ED10" s="179"/>
      <c r="EE10" s="219"/>
      <c r="EF10" s="185">
        <f t="shared" si="50"/>
        <v>0</v>
      </c>
      <c r="EG10" s="176">
        <f t="shared" si="51"/>
        <v>880</v>
      </c>
      <c r="EH10" s="176">
        <f t="shared" si="52"/>
        <v>5120</v>
      </c>
      <c r="EI10" s="176">
        <f t="shared" si="53"/>
        <v>6880</v>
      </c>
      <c r="EJ10" s="176">
        <f t="shared" si="54"/>
        <v>0</v>
      </c>
      <c r="EK10" s="176">
        <f t="shared" si="55"/>
        <v>0</v>
      </c>
      <c r="EL10" s="176">
        <f t="shared" si="56"/>
        <v>0</v>
      </c>
      <c r="EM10" s="176">
        <f t="shared" si="57"/>
        <v>5120</v>
      </c>
      <c r="EN10" s="172">
        <f t="shared" si="58"/>
        <v>500</v>
      </c>
      <c r="EO10" s="234" t="s">
        <v>225</v>
      </c>
      <c r="EP10" s="214">
        <f t="shared" si="59"/>
        <v>500</v>
      </c>
      <c r="EQ10" s="83">
        <f>IFERROR(O10+IFERROR(VLOOKUP(B10,'[1]Mar1 Payroll'!$B$9:$FJ$68,131,FALSE),),0)</f>
        <v>6000</v>
      </c>
      <c r="ER10" s="83">
        <f>IFERROR(Q10+W10+AO10+BK10+BL10+IFERROR(VLOOKUP(B10,'[1]Mar1 Payroll'!$B$9:$FJ$68,132,FALSE),),)</f>
        <v>0</v>
      </c>
      <c r="ES10" s="83">
        <f t="array" ref="ES10">IFERROR(IF(BX10+CB10+CD10+CE10+CF10+EN10+IFERROR(SUM(VLOOKUP(B10,'[1]Mar1 Payroll'!$B$9:$FJ$68,{133,137,140,141,144,146,147,148},FALSE)),)&gt;90000,EN10+IFERROR(SUM(VLOOKUP(B10,'[1]Mar1 Payroll'!$B$9:$FJ$68,{133,144},FALSE)),),IF(BX10+CB10+CD10+CE10+CF10+EN10+IFERROR(SUM(VLOOKUP(B10,'[1]Mar1 Payroll'!$B$9:$EK$68,{133,137,140,141,144,146,147,148},FALSE)),)&lt;90000,0,0)),0)</f>
        <v>0</v>
      </c>
      <c r="ET10" s="83">
        <f>IFERROR(BW10+IFERROR(VLOOKUP(B10,'[1]Mar1 Payroll'!$B$9:$FJ$68,134,FALSE),),0)</f>
        <v>0</v>
      </c>
      <c r="EU10" s="83">
        <f>IFERROR(BU10+IFERROR(VLOOKUP(B10,'[1]Mar1 Payroll'!$B$9:$FJ$68,135,FALSE),),0)</f>
        <v>0</v>
      </c>
      <c r="EV10" s="83">
        <f>IFERROR(BV10+IFERROR(VLOOKUP(B10,'[1]Mar1 Payroll'!$B$9:$FJ$68,136,FALSE),),0)</f>
        <v>0</v>
      </c>
      <c r="EW10" s="83">
        <f t="array" ref="EW10">IFERROR(IF(BX10+CB10+CD10+CE10+CF10+EN10+IFERROR(SUM(VLOOKUP(B10,'[1]Mar1 Payroll'!$B$9:$FJ$68,{133,137,140,141,144,146,147,148},FALSE)),)&gt;90000,BX10+IFERROR(SUM(VLOOKUP(B10,'[1]Mar1 Payroll'!$B$9:$FJ$68,{137,147},FALSE)),),IF(BX10+CB10+CD10+CE10+CF10+EN10+IFERROR(SUM(VLOOKUP(B10,'[1]Mar1 Payroll'!$B$9:$EK$68,{133,137,140,141,144,146,147,148},FALSE)),)&lt;90000,0,0)),0)</f>
        <v>0</v>
      </c>
      <c r="EX10" s="83">
        <f>IFERROR(BY10+IFERROR(VLOOKUP(B10,'[1]Mar1 Payroll'!$B$9:$FJ$68,138,FALSE),),0)</f>
        <v>0</v>
      </c>
      <c r="EY10" s="83">
        <f>IFERROR(BZ10+IFERROR(VLOOKUP(B10,'[1]Mar1 Payroll'!$B$9:$FJ$68,139,FALSE),),0)</f>
        <v>0</v>
      </c>
      <c r="EZ10" s="83">
        <f t="array" ref="EZ10">IFERROR(IF(BX10+CB10+CD10+CE10+CF10+EN10+IFERROR(SUM(VLOOKUP(B10,'[1]Mar1 Payroll'!$B$9:$FJ$68,{133,137,140,141,144,146,147,148},FALSE)),)&gt;90000,CB10+IFERROR(SUM(VLOOKUP(B10,'[1]Mar1 Payroll'!$B$9:$FJ$68,{140,146},FALSE)),),IF(BX10+CB10+CD10+CE10+CF10+EN10+IFERROR(SUM(VLOOKUP(B10,'[1]Mar1 Payroll'!$B$9:$EK$68,{133,137,140,141,144,146,147,148},FALSE)),)&lt;90000,0,0)),0)</f>
        <v>0</v>
      </c>
      <c r="FA10" s="83">
        <f t="array" ref="FA10">IFERROR(IF(BX10+CB10+CD10+CE10+CF10+EN10+IFERROR(SUM(VLOOKUP(B10,'[1]Mar1 Payroll'!$B$9:$FJ$68,{133,137,140,141,144,146,147,148},FALSE)),)&gt;90000,CD10+CE10+CF10+IFERROR(SUM(VLOOKUP(B10,'[1]Mar1 Payroll'!$B$9:$FJ$68,{141,148},FALSE)),),IF(BX10+CB10+CD10+CE10+CF10+EN10+IFERROR(SUM(VLOOKUP(B10,'[1]Mar1 Payroll'!$B$9:$EK$68,{133,137,140,141,144,146,147,148},FALSE)),)&lt;90000,0,0)),0)</f>
        <v>0</v>
      </c>
      <c r="FB10" s="83">
        <f t="shared" si="60"/>
        <v>0</v>
      </c>
      <c r="FC10" s="83">
        <f t="shared" si="61"/>
        <v>0</v>
      </c>
      <c r="FD10" s="83">
        <f t="array" ref="FD10">IFERROR(IF(BX10+CB10+CD10+CE10+CF10+EN10+IFERROR(SUM(VLOOKUP(B10,'[1]Mar1 Payroll'!$B$9:$FJ$68,{133,137,140,141,144,146,147,148},FALSE)),)&gt;90000,0,IF(BX10+CB10+CD10+CE10+CF10+EN10+IFERROR(SUM(VLOOKUP(B10,'[1]Mar1 Payroll'!$B$9:$EK$68,{133,137,140,141,144,146,147,148},FALSE)),)&lt;90000,EN10+IFERROR(SUM(VLOOKUP(B10,'[1]Mar1 Payroll'!$B$9:$FJ$68,{133,144},FALSE)),),)),)</f>
        <v>500</v>
      </c>
      <c r="FE10" s="83">
        <f>IFERROR(CC10+IFERROR(VLOOKUP(B10,'[1]Mar1 Payroll'!$B$9:$FJ$68,145,FALSE),),0)</f>
        <v>0</v>
      </c>
      <c r="FF10" s="83">
        <f t="array" ref="FF10">IFERROR(IF(BX10+CB10+CD10+CE10+CF10+EN10+IFERROR(SUM(VLOOKUP(B10,'[1]Mar1 Payroll'!$B$9:$FJ$68,{133,137,140,141,144,146,147,148},FALSE)),)&gt;90000,0,IF(BX10+CB10+CD10+CE10+CF10+EN10+IFERROR(SUM(VLOOKUP(B10,'[1]Mar1 Payroll'!$B$9:$EK$68,{133,137,140,141,144,146,147,148},FALSE)),)&lt;90000,CB10+IFERROR(SUM(VLOOKUP(B10,'[1]Mar1 Payroll'!$B$9:$FJ$68,{140,146},FALSE)),))),0)</f>
        <v>0</v>
      </c>
      <c r="FG10" s="83">
        <f t="array" ref="FG10">IFERROR(IF(BX10+CB10+CD10+CE10+CF10+EN10+IFERROR(SUM(VLOOKUP(B10,'[1]Mar1 Payroll'!$B$9:$FJ$68,{133,137,140,141,144,146,147,148},FALSE)),)&gt;90000,0,IF(BX10+CB10+CD10+CE10+CF10+EN10+IFERROR(SUM(VLOOKUP(B10,'[1]Mar1 Payroll'!$B$9:$EK$68,{133,137,140,141,144,146,147,148},FALSE)),)&lt;90000,BX10+IFERROR(SUM(VLOOKUP(B10,'[1]Mar1 Payroll'!$B$9:$FJ$68,{137,147},FALSE)),))),0)</f>
        <v>0</v>
      </c>
      <c r="FH10" s="83">
        <f t="array" ref="FH10">IFERROR(IF(BX10+CB10+CD10+CE10+CF10+EN10+IFERROR(SUM(VLOOKUP(B10,'[1]Mar1 Payroll'!$B$9:$FJ$68,{133,137,140,141,144,146,147,148},FALSE)),)&gt;90000,0,IF(BX10+CB10+CD10+CE10+CF10+EN10+IFERROR(SUM(VLOOKUP(B10,'[1]Mar1 Payroll'!$B$9:$EK$68,{133,137,140,141,144,146,147,148},FALSE)),)&lt;90000,CD10+CE10+CF10+IFERROR(SUM(VLOOKUP(B10,'[1]Mar1 Payroll'!$B$9:$FJ$68,{141,148},FALSE)),))),0)</f>
        <v>0</v>
      </c>
      <c r="FI10" s="83">
        <f t="shared" si="62"/>
        <v>0</v>
      </c>
      <c r="FJ10" s="83">
        <f t="shared" si="63"/>
        <v>6000</v>
      </c>
      <c r="FK10" s="83">
        <f>IFERROR(EJ10+EK10+EL10+IFERROR(VLOOKUP(B10,'[1]Mar1 Payroll'!$B$9:$FJ$68,151,FALSE),),0)</f>
        <v>0</v>
      </c>
      <c r="FL10" s="83">
        <f>IFERROR(CY10+IFERROR(VLOOKUP(B10,'[1]Mar1 Payroll'!$B$9:$FJ$68,152,FALSE),),0)</f>
        <v>10</v>
      </c>
      <c r="FM10" s="83">
        <f>IFERROR(DA10+DB10+IFERROR(VLOOKUP(B10,'[1]Mar1 Payroll'!$B$9:$FJ$68,153,FALSE),),0)</f>
        <v>480</v>
      </c>
      <c r="FN10" s="83">
        <f>IFERROR(DD10+DE10+IFERROR(VLOOKUP(B10,'[1]Mar1 Payroll'!$B$9:$FJ$68,154,FALSE),),0)</f>
        <v>200</v>
      </c>
      <c r="FO10" s="83">
        <f>IFERROR(CO10+IFERROR(VLOOKUP(B10,'[1]Mar1 Payroll'!$B$9:$FJ$68,155,FALSE),),0)</f>
        <v>0</v>
      </c>
      <c r="FP10" s="83">
        <f>IFERROR(DZ10+EA10+EF10+IFERROR(VLOOKUP(B10,'[1]Mar1 Payroll'!$B$9:$FJ$68,156,FALSE),),0)</f>
        <v>0</v>
      </c>
      <c r="FQ10" s="83">
        <f>IFERROR(DH10+IFERROR(VLOOKUP(B10,'[1]Mar1 Payroll'!$B$9:$FJ$68,157,FALSE),),0)</f>
        <v>0</v>
      </c>
      <c r="FR10" s="83">
        <f>IFERROR(DI10+IFERROR(VLOOKUP(B10,'[1]Mar1 Payroll'!$B$9:$FJ$68,158,FALSE),),0)</f>
        <v>0</v>
      </c>
      <c r="FS10" s="83">
        <f>IFERROR(DK10+IFERROR(VLOOKUP(B10,'[1]Mar1 Payroll'!$B$9:$FJ$68,159,FALSE),),0)</f>
        <v>0</v>
      </c>
      <c r="FT10" s="83">
        <f>IFERROR(DM10+IFERROR(VLOOKUP(B10,'[1]Mar1 Payroll'!$B$9:$FJ$68,160,FALSE),),0)</f>
        <v>0</v>
      </c>
      <c r="FU10" s="83">
        <f>IFERROR(DN10+IFERROR(VLOOKUP(B10,'[1]Mar1 Payroll'!$B$9:$FJ$68,161,FALSE),),0)</f>
        <v>0</v>
      </c>
      <c r="FV10" s="83">
        <f>IFERROR(DO10+IFERROR(VLOOKUP(B10,'[1]Mar1 Payroll'!$B$9:$FJ$68,162,FALSE),),0)</f>
        <v>0</v>
      </c>
      <c r="FW10" s="83">
        <f>IFERROR(DP10+IFERROR(VLOOKUP(B10,'[1]Mar1 Payroll'!$B$9:$FJ$68,163,FALSE),),0)</f>
        <v>0</v>
      </c>
      <c r="FX10" s="83">
        <f t="shared" si="64"/>
        <v>690</v>
      </c>
      <c r="FY10" s="84">
        <f t="shared" si="65"/>
        <v>6690</v>
      </c>
      <c r="FZ10" s="85"/>
      <c r="GA10" s="85"/>
      <c r="GB10" s="86">
        <f t="shared" si="66"/>
        <v>6000</v>
      </c>
      <c r="GC10" s="83">
        <f t="shared" si="67"/>
        <v>0</v>
      </c>
      <c r="GD10" s="83">
        <f t="shared" si="68"/>
        <v>0</v>
      </c>
      <c r="GE10" s="83">
        <f t="shared" si="69"/>
        <v>0</v>
      </c>
      <c r="GF10" s="83">
        <f t="shared" si="70"/>
        <v>0</v>
      </c>
      <c r="GG10" s="83">
        <f t="shared" si="71"/>
        <v>0</v>
      </c>
      <c r="GH10" s="83">
        <f t="shared" si="72"/>
        <v>0</v>
      </c>
      <c r="GI10" s="83">
        <f t="shared" si="73"/>
        <v>0</v>
      </c>
      <c r="GJ10" s="83">
        <f t="shared" si="74"/>
        <v>0</v>
      </c>
      <c r="GK10" s="83">
        <f t="shared" si="75"/>
        <v>0</v>
      </c>
      <c r="GL10" s="83">
        <f t="shared" si="76"/>
        <v>0</v>
      </c>
      <c r="GM10" s="83">
        <f t="shared" si="77"/>
        <v>0</v>
      </c>
      <c r="GN10" s="83">
        <f t="shared" si="78"/>
        <v>0</v>
      </c>
      <c r="GO10" s="83">
        <f t="shared" si="79"/>
        <v>500</v>
      </c>
      <c r="GP10" s="83">
        <f t="shared" si="80"/>
        <v>0</v>
      </c>
      <c r="GQ10" s="83">
        <f t="shared" si="81"/>
        <v>0</v>
      </c>
      <c r="GR10" s="83">
        <f t="shared" si="82"/>
        <v>0</v>
      </c>
      <c r="GS10" s="83">
        <f t="shared" si="83"/>
        <v>0</v>
      </c>
      <c r="GT10" s="83">
        <f t="shared" si="84"/>
        <v>0</v>
      </c>
      <c r="GU10" s="83">
        <f t="shared" si="85"/>
        <v>6000</v>
      </c>
      <c r="GV10" s="83">
        <f t="shared" si="86"/>
        <v>0</v>
      </c>
      <c r="GW10" s="83">
        <f t="shared" si="87"/>
        <v>10</v>
      </c>
      <c r="GX10" s="83">
        <f t="shared" si="88"/>
        <v>480</v>
      </c>
      <c r="GY10" s="83">
        <f t="shared" si="89"/>
        <v>200</v>
      </c>
      <c r="GZ10" s="83">
        <f t="shared" si="90"/>
        <v>0</v>
      </c>
      <c r="HA10" s="83">
        <f t="shared" si="91"/>
        <v>0</v>
      </c>
      <c r="HB10" s="83">
        <f t="shared" si="92"/>
        <v>0</v>
      </c>
      <c r="HC10" s="83">
        <f t="shared" si="93"/>
        <v>0</v>
      </c>
      <c r="HD10" s="83">
        <f t="shared" si="94"/>
        <v>0</v>
      </c>
      <c r="HE10" s="83">
        <f t="shared" si="95"/>
        <v>0</v>
      </c>
      <c r="HF10" s="83">
        <f t="shared" si="96"/>
        <v>0</v>
      </c>
      <c r="HG10" s="83">
        <f t="shared" si="97"/>
        <v>0</v>
      </c>
      <c r="HH10" s="83">
        <f t="shared" si="98"/>
        <v>0</v>
      </c>
      <c r="HI10" s="83">
        <f t="shared" si="99"/>
        <v>690</v>
      </c>
      <c r="HJ10" s="87">
        <f t="shared" si="100"/>
        <v>6690</v>
      </c>
      <c r="HK10" s="85" t="s">
        <v>171</v>
      </c>
      <c r="HL10" s="88">
        <f t="shared" si="101"/>
        <v>5120</v>
      </c>
      <c r="HM10" s="88">
        <f t="shared" si="102"/>
        <v>0</v>
      </c>
      <c r="HN10" s="88"/>
      <c r="HO10" s="89">
        <v>2</v>
      </c>
      <c r="HP10" s="91">
        <f t="shared" si="103"/>
        <v>6000</v>
      </c>
      <c r="HQ10" s="91">
        <f t="shared" si="104"/>
        <v>6000</v>
      </c>
      <c r="HR10" s="91">
        <f t="shared" si="105"/>
        <v>-880</v>
      </c>
    </row>
    <row r="11" spans="1:232" s="97" customFormat="1" ht="15.75" customHeight="1" thickBot="1" x14ac:dyDescent="0.3">
      <c r="A11" s="217" t="s">
        <v>209</v>
      </c>
      <c r="B11" s="241" t="s">
        <v>191</v>
      </c>
      <c r="C11" s="169" t="s">
        <v>187</v>
      </c>
      <c r="D11" s="183"/>
      <c r="E11" s="169" t="s">
        <v>190</v>
      </c>
      <c r="F11" s="170" t="s">
        <v>195</v>
      </c>
      <c r="G11" s="171" t="s">
        <v>170</v>
      </c>
      <c r="H11" s="223">
        <v>15500</v>
      </c>
      <c r="I11" s="172">
        <f t="shared" si="0"/>
        <v>0</v>
      </c>
      <c r="J11" s="175">
        <v>13</v>
      </c>
      <c r="K11" s="251">
        <v>13</v>
      </c>
      <c r="L11" s="180">
        <f t="shared" si="1"/>
        <v>596.15384615384619</v>
      </c>
      <c r="M11" s="180">
        <f t="shared" si="2"/>
        <v>74.519230769230774</v>
      </c>
      <c r="N11" s="180">
        <f t="shared" si="3"/>
        <v>1.2419871794871795</v>
      </c>
      <c r="O11" s="174">
        <f t="shared" si="4"/>
        <v>7750</v>
      </c>
      <c r="P11" s="175"/>
      <c r="Q11" s="174">
        <f t="shared" si="5"/>
        <v>0</v>
      </c>
      <c r="R11" s="175"/>
      <c r="S11" s="174">
        <f>(M11*1)*R11</f>
        <v>0</v>
      </c>
      <c r="T11" s="171"/>
      <c r="U11" s="174">
        <f t="shared" si="6"/>
        <v>0</v>
      </c>
      <c r="V11" s="173">
        <f t="shared" si="7"/>
        <v>0</v>
      </c>
      <c r="W11" s="173">
        <f t="shared" si="8"/>
        <v>0</v>
      </c>
      <c r="X11" s="171"/>
      <c r="Y11" s="174">
        <f t="shared" si="9"/>
        <v>0</v>
      </c>
      <c r="Z11" s="171"/>
      <c r="AA11" s="174">
        <f t="shared" si="10"/>
        <v>0</v>
      </c>
      <c r="AB11" s="171"/>
      <c r="AC11" s="174">
        <f t="shared" si="11"/>
        <v>0</v>
      </c>
      <c r="AD11" s="171"/>
      <c r="AE11" s="174">
        <f t="shared" si="12"/>
        <v>0</v>
      </c>
      <c r="AF11" s="175"/>
      <c r="AG11" s="174">
        <f t="shared" si="13"/>
        <v>0</v>
      </c>
      <c r="AH11" s="171"/>
      <c r="AI11" s="174">
        <f t="shared" si="14"/>
        <v>0</v>
      </c>
      <c r="AJ11" s="171"/>
      <c r="AK11" s="174">
        <f t="shared" si="15"/>
        <v>0</v>
      </c>
      <c r="AL11" s="171"/>
      <c r="AM11" s="174">
        <f t="shared" si="16"/>
        <v>0</v>
      </c>
      <c r="AN11" s="173">
        <f t="shared" si="17"/>
        <v>0</v>
      </c>
      <c r="AO11" s="173">
        <f t="shared" si="18"/>
        <v>0</v>
      </c>
      <c r="AP11" s="171"/>
      <c r="AQ11" s="174">
        <f t="shared" si="19"/>
        <v>0</v>
      </c>
      <c r="AR11" s="171"/>
      <c r="AS11" s="174">
        <f t="shared" si="20"/>
        <v>0</v>
      </c>
      <c r="AT11" s="171"/>
      <c r="AU11" s="174">
        <f t="shared" si="21"/>
        <v>0</v>
      </c>
      <c r="AV11" s="171"/>
      <c r="AW11" s="228">
        <f t="shared" si="22"/>
        <v>0</v>
      </c>
      <c r="AX11" s="171"/>
      <c r="AY11" s="174">
        <f t="shared" si="23"/>
        <v>0</v>
      </c>
      <c r="AZ11" s="171"/>
      <c r="BA11" s="174">
        <f t="shared" si="24"/>
        <v>0</v>
      </c>
      <c r="BB11" s="171"/>
      <c r="BC11" s="174">
        <f t="shared" si="25"/>
        <v>0</v>
      </c>
      <c r="BD11" s="171"/>
      <c r="BE11" s="174">
        <f t="shared" si="26"/>
        <v>0</v>
      </c>
      <c r="BF11" s="171"/>
      <c r="BG11" s="174">
        <f t="shared" si="27"/>
        <v>0</v>
      </c>
      <c r="BH11" s="171"/>
      <c r="BI11" s="174">
        <f t="shared" si="28"/>
        <v>0</v>
      </c>
      <c r="BJ11" s="176">
        <f t="shared" si="29"/>
        <v>0</v>
      </c>
      <c r="BK11" s="173">
        <f t="shared" si="30"/>
        <v>0</v>
      </c>
      <c r="BL11" s="171"/>
      <c r="BM11" s="174"/>
      <c r="BN11" s="174"/>
      <c r="BO11" s="171"/>
      <c r="BP11" s="171"/>
      <c r="BQ11" s="171"/>
      <c r="BR11" s="171"/>
      <c r="BS11" s="174">
        <f t="shared" si="31"/>
        <v>0</v>
      </c>
      <c r="BT11" s="174">
        <f t="shared" si="32"/>
        <v>0</v>
      </c>
      <c r="BU11" s="173">
        <f t="shared" si="33"/>
        <v>0</v>
      </c>
      <c r="BV11" s="173">
        <f t="shared" si="34"/>
        <v>0</v>
      </c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4">
        <f t="shared" si="35"/>
        <v>0</v>
      </c>
      <c r="CI11" s="175"/>
      <c r="CJ11" s="174">
        <f t="shared" si="36"/>
        <v>0</v>
      </c>
      <c r="CK11" s="175"/>
      <c r="CL11" s="174">
        <f t="shared" si="37"/>
        <v>0</v>
      </c>
      <c r="CM11" s="171">
        <f t="shared" si="38"/>
        <v>0</v>
      </c>
      <c r="CN11" s="177">
        <f t="shared" si="39"/>
        <v>0</v>
      </c>
      <c r="CO11" s="173">
        <f t="shared" si="40"/>
        <v>0</v>
      </c>
      <c r="CP11" s="176">
        <f t="shared" si="41"/>
        <v>7750</v>
      </c>
      <c r="CQ11" s="187" t="str">
        <f>_xlfn.IFNA(VLOOKUP(B11,'[1]201'!$E$7:$H$66,2,FALSE),"")</f>
        <v/>
      </c>
      <c r="CR11" s="187" t="str">
        <f>_xlfn.IFNA(VLOOKUP(B11,'[1]201'!$E$7:$H$66,3,FALSE),"")</f>
        <v/>
      </c>
      <c r="CS11" s="187" t="str">
        <f>_xlfn.IFNA(VLOOKUP(B11,'[1]201'!$E$7:$H$66,4,FALSE),"")</f>
        <v/>
      </c>
      <c r="CT11" s="179"/>
      <c r="CU11" s="179"/>
      <c r="CV11" s="179"/>
      <c r="CW11" s="180">
        <v>697.5</v>
      </c>
      <c r="CX11" s="181">
        <v>1472.5</v>
      </c>
      <c r="CY11" s="182">
        <v>10</v>
      </c>
      <c r="CZ11" s="176">
        <f t="shared" si="42"/>
        <v>2180</v>
      </c>
      <c r="DA11" s="181">
        <f t="shared" si="43"/>
        <v>310</v>
      </c>
      <c r="DB11" s="182">
        <f t="shared" si="44"/>
        <v>310</v>
      </c>
      <c r="DC11" s="176">
        <f t="shared" si="45"/>
        <v>620</v>
      </c>
      <c r="DD11" s="181">
        <v>100</v>
      </c>
      <c r="DE11" s="182">
        <v>100</v>
      </c>
      <c r="DF11" s="176">
        <f t="shared" si="46"/>
        <v>200</v>
      </c>
      <c r="DG11" s="176">
        <f t="shared" si="106"/>
        <v>1107.5</v>
      </c>
      <c r="DH11" s="221"/>
      <c r="DI11" s="183"/>
      <c r="DJ11" s="221"/>
      <c r="DK11" s="183"/>
      <c r="DL11" s="176">
        <f t="shared" si="47"/>
        <v>0</v>
      </c>
      <c r="DM11" s="183"/>
      <c r="DN11" s="183"/>
      <c r="DO11" s="183"/>
      <c r="DP11" s="183"/>
      <c r="DQ11" s="172">
        <f t="shared" si="48"/>
        <v>0</v>
      </c>
      <c r="DR11" s="179"/>
      <c r="DS11" s="179"/>
      <c r="DT11" s="175"/>
      <c r="DU11" s="179"/>
      <c r="DV11" s="179"/>
      <c r="DW11" s="218"/>
      <c r="DX11" s="218"/>
      <c r="DY11" s="173">
        <f t="shared" si="49"/>
        <v>0</v>
      </c>
      <c r="DZ11" s="179"/>
      <c r="EA11" s="215"/>
      <c r="EB11" s="215"/>
      <c r="EC11" s="215"/>
      <c r="ED11" s="179"/>
      <c r="EE11" s="184"/>
      <c r="EF11" s="185">
        <f t="shared" si="50"/>
        <v>0</v>
      </c>
      <c r="EG11" s="176">
        <f t="shared" si="51"/>
        <v>1107.5</v>
      </c>
      <c r="EH11" s="176">
        <f t="shared" si="52"/>
        <v>6642.5</v>
      </c>
      <c r="EI11" s="176">
        <f t="shared" si="53"/>
        <v>8857.5</v>
      </c>
      <c r="EJ11" s="176">
        <f t="shared" si="54"/>
        <v>0</v>
      </c>
      <c r="EK11" s="176">
        <f t="shared" si="55"/>
        <v>0</v>
      </c>
      <c r="EL11" s="176">
        <f t="shared" si="56"/>
        <v>0</v>
      </c>
      <c r="EM11" s="176">
        <f t="shared" si="57"/>
        <v>6642.5</v>
      </c>
      <c r="EN11" s="172">
        <f t="shared" si="58"/>
        <v>645.83333333333337</v>
      </c>
      <c r="EO11" s="234" t="s">
        <v>209</v>
      </c>
      <c r="EP11" s="214">
        <f t="shared" si="59"/>
        <v>645.83333333333337</v>
      </c>
      <c r="EQ11" s="83">
        <f>IFERROR(O11+IFERROR(VLOOKUP(B11,'[1]Mar1 Payroll'!$B$9:$FJ$68,131,FALSE),),0)</f>
        <v>7750</v>
      </c>
      <c r="ER11" s="83">
        <f>IFERROR(Q11+W11+AO11+BK11+BL11+IFERROR(VLOOKUP(B11,'[1]Mar1 Payroll'!$B$9:$FJ$68,132,FALSE),),)</f>
        <v>0</v>
      </c>
      <c r="ES11" s="83">
        <f t="array" ref="ES11">IFERROR(IF(BX11+CB11+CD11+CE11+CF11+EN11+IFERROR(SUM(VLOOKUP(B11,'[1]Mar1 Payroll'!$B$9:$FJ$68,{133,137,140,141,144,146,147,148},FALSE)),)&gt;90000,EN11+IFERROR(SUM(VLOOKUP(B11,'[1]Mar1 Payroll'!$B$9:$FJ$68,{133,144},FALSE)),),IF(BX11+CB11+CD11+CE11+CF11+EN11+IFERROR(SUM(VLOOKUP(B11,'[1]Mar1 Payroll'!$B$9:$EK$68,{133,137,140,141,144,146,147,148},FALSE)),)&lt;90000,0,0)),0)</f>
        <v>0</v>
      </c>
      <c r="ET11" s="83">
        <f>IFERROR(BW11+IFERROR(VLOOKUP(B11,'[1]Mar1 Payroll'!$B$9:$FJ$68,134,FALSE),),0)</f>
        <v>0</v>
      </c>
      <c r="EU11" s="83">
        <f>IFERROR(BU11+IFERROR(VLOOKUP(B11,'[1]Mar1 Payroll'!$B$9:$FJ$68,135,FALSE),),0)</f>
        <v>0</v>
      </c>
      <c r="EV11" s="83">
        <f>IFERROR(BV11+IFERROR(VLOOKUP(B11,'[1]Mar1 Payroll'!$B$9:$FJ$68,136,FALSE),),0)</f>
        <v>0</v>
      </c>
      <c r="EW11" s="83">
        <f t="array" ref="EW11">IFERROR(IF(BX11+CB11+CD11+CE11+CF11+EN11+IFERROR(SUM(VLOOKUP(B11,'[1]Mar1 Payroll'!$B$9:$FJ$68,{133,137,140,141,144,146,147,148},FALSE)),)&gt;90000,BX11+IFERROR(SUM(VLOOKUP(B11,'[1]Mar1 Payroll'!$B$9:$FJ$68,{137,147},FALSE)),),IF(BX11+CB11+CD11+CE11+CF11+EN11+IFERROR(SUM(VLOOKUP(B11,'[1]Mar1 Payroll'!$B$9:$EK$68,{133,137,140,141,144,146,147,148},FALSE)),)&lt;90000,0,0)),0)</f>
        <v>0</v>
      </c>
      <c r="EX11" s="83">
        <f>IFERROR(BY11+IFERROR(VLOOKUP(B11,'[1]Mar1 Payroll'!$B$9:$FJ$68,138,FALSE),),0)</f>
        <v>0</v>
      </c>
      <c r="EY11" s="83">
        <f>IFERROR(BZ11+IFERROR(VLOOKUP(B11,'[1]Mar1 Payroll'!$B$9:$FJ$68,139,FALSE),),0)</f>
        <v>0</v>
      </c>
      <c r="EZ11" s="83">
        <f t="array" ref="EZ11">IFERROR(IF(BX11+CB11+CD11+CE11+CF11+EN11+IFERROR(SUM(VLOOKUP(B11,'[1]Mar1 Payroll'!$B$9:$FJ$68,{133,137,140,141,144,146,147,148},FALSE)),)&gt;90000,CB11+IFERROR(SUM(VLOOKUP(B11,'[1]Mar1 Payroll'!$B$9:$FJ$68,{140,146},FALSE)),),IF(BX11+CB11+CD11+CE11+CF11+EN11+IFERROR(SUM(VLOOKUP(B11,'[1]Mar1 Payroll'!$B$9:$EK$68,{133,137,140,141,144,146,147,148},FALSE)),)&lt;90000,0,0)),0)</f>
        <v>0</v>
      </c>
      <c r="FA11" s="83">
        <f t="array" ref="FA11">IFERROR(IF(BX11+CB11+CD11+CE11+CF11+EN11+IFERROR(SUM(VLOOKUP(B11,'[1]Mar1 Payroll'!$B$9:$FJ$68,{133,137,140,141,144,146,147,148},FALSE)),)&gt;90000,CD11+CE11+CF11+IFERROR(SUM(VLOOKUP(B11,'[1]Mar1 Payroll'!$B$9:$FJ$68,{141,148},FALSE)),),IF(BX11+CB11+CD11+CE11+CF11+EN11+IFERROR(SUM(VLOOKUP(B11,'[1]Mar1 Payroll'!$B$9:$EK$68,{133,137,140,141,144,146,147,148},FALSE)),)&lt;90000,0,0)),0)</f>
        <v>0</v>
      </c>
      <c r="FB11" s="83">
        <f t="shared" si="60"/>
        <v>0</v>
      </c>
      <c r="FC11" s="83">
        <f t="shared" si="61"/>
        <v>0</v>
      </c>
      <c r="FD11" s="83">
        <f t="array" ref="FD11">IFERROR(IF(BX11+CB11+CD11+CE11+CF11+EN11+IFERROR(SUM(VLOOKUP(B11,'[1]Mar1 Payroll'!$B$9:$FJ$68,{133,137,140,141,144,146,147,148},FALSE)),)&gt;90000,0,IF(BX11+CB11+CD11+CE11+CF11+EN11+IFERROR(SUM(VLOOKUP(B11,'[1]Mar1 Payroll'!$B$9:$EK$68,{133,137,140,141,144,146,147,148},FALSE)),)&lt;90000,EN11+IFERROR(SUM(VLOOKUP(B11,'[1]Mar1 Payroll'!$B$9:$FJ$68,{133,144},FALSE)),),)),)</f>
        <v>645.83333333333337</v>
      </c>
      <c r="FE11" s="83">
        <f>IFERROR(CC11+IFERROR(VLOOKUP(B11,'[1]Mar1 Payroll'!$B$9:$FJ$68,145,FALSE),),0)</f>
        <v>0</v>
      </c>
      <c r="FF11" s="83">
        <f t="array" ref="FF11">IFERROR(IF(BX11+CB11+CD11+CE11+CF11+EN11+IFERROR(SUM(VLOOKUP(B11,'[1]Mar1 Payroll'!$B$9:$FJ$68,{133,137,140,141,144,146,147,148},FALSE)),)&gt;90000,0,IF(BX11+CB11+CD11+CE11+CF11+EN11+IFERROR(SUM(VLOOKUP(B11,'[1]Mar1 Payroll'!$B$9:$EK$68,{133,137,140,141,144,146,147,148},FALSE)),)&lt;90000,CB11+IFERROR(SUM(VLOOKUP(B11,'[1]Mar1 Payroll'!$B$9:$FJ$68,{140,146},FALSE)),))),0)</f>
        <v>0</v>
      </c>
      <c r="FG11" s="83">
        <f t="array" ref="FG11">IFERROR(IF(BX11+CB11+CD11+CE11+CF11+EN11+IFERROR(SUM(VLOOKUP(B11,'[1]Mar1 Payroll'!$B$9:$FJ$68,{133,137,140,141,144,146,147,148},FALSE)),)&gt;90000,0,IF(BX11+CB11+CD11+CE11+CF11+EN11+IFERROR(SUM(VLOOKUP(B11,'[1]Mar1 Payroll'!$B$9:$EK$68,{133,137,140,141,144,146,147,148},FALSE)),)&lt;90000,BX11+IFERROR(SUM(VLOOKUP(B11,'[1]Mar1 Payroll'!$B$9:$FJ$68,{137,147},FALSE)),))),0)</f>
        <v>0</v>
      </c>
      <c r="FH11" s="83">
        <f t="array" ref="FH11">IFERROR(IF(BX11+CB11+CD11+CE11+CF11+EN11+IFERROR(SUM(VLOOKUP(B11,'[1]Mar1 Payroll'!$B$9:$FJ$68,{133,137,140,141,144,146,147,148},FALSE)),)&gt;90000,0,IF(BX11+CB11+CD11+CE11+CF11+EN11+IFERROR(SUM(VLOOKUP(B11,'[1]Mar1 Payroll'!$B$9:$EK$68,{133,137,140,141,144,146,147,148},FALSE)),)&lt;90000,CD11+CE11+CF11+IFERROR(SUM(VLOOKUP(B11,'[1]Mar1 Payroll'!$B$9:$FJ$68,{141,148},FALSE)),))),0)</f>
        <v>0</v>
      </c>
      <c r="FI11" s="83">
        <f t="shared" si="62"/>
        <v>0</v>
      </c>
      <c r="FJ11" s="83">
        <f t="shared" si="63"/>
        <v>7750</v>
      </c>
      <c r="FK11" s="83">
        <f>IFERROR(EJ11+EK11+EL11+IFERROR(VLOOKUP(B11,'[1]Mar1 Payroll'!$B$9:$FJ$68,151,FALSE),),0)</f>
        <v>0</v>
      </c>
      <c r="FL11" s="83">
        <f>IFERROR(CY11+IFERROR(VLOOKUP(B11,'[1]Mar1 Payroll'!$B$9:$FJ$68,152,FALSE),),0)</f>
        <v>10</v>
      </c>
      <c r="FM11" s="83">
        <f>IFERROR(DA11+DB11+IFERROR(VLOOKUP(B11,'[1]Mar1 Payroll'!$B$9:$FJ$68,153,FALSE),),0)</f>
        <v>620</v>
      </c>
      <c r="FN11" s="83">
        <f>IFERROR(DD11+DE11+IFERROR(VLOOKUP(B11,'[1]Mar1 Payroll'!$B$9:$FJ$68,154,FALSE),),0)</f>
        <v>200</v>
      </c>
      <c r="FO11" s="83">
        <f>IFERROR(CO11+IFERROR(VLOOKUP(B11,'[1]Mar1 Payroll'!$B$9:$FJ$68,155,FALSE),),0)</f>
        <v>0</v>
      </c>
      <c r="FP11" s="83">
        <f>IFERROR(DZ11+EA11+EF11+IFERROR(VLOOKUP(B11,'[1]Mar1 Payroll'!$B$9:$FJ$68,156,FALSE),),0)</f>
        <v>0</v>
      </c>
      <c r="FQ11" s="83">
        <f>IFERROR(DH11+IFERROR(VLOOKUP(B11,'[1]Mar1 Payroll'!$B$9:$FJ$68,157,FALSE),),0)</f>
        <v>0</v>
      </c>
      <c r="FR11" s="83">
        <f>IFERROR(DI11+IFERROR(VLOOKUP(B11,'[1]Mar1 Payroll'!$B$9:$FJ$68,158,FALSE),),0)</f>
        <v>0</v>
      </c>
      <c r="FS11" s="83">
        <f>IFERROR(DK11+IFERROR(VLOOKUP(B11,'[1]Mar1 Payroll'!$B$9:$FJ$68,159,FALSE),),0)</f>
        <v>0</v>
      </c>
      <c r="FT11" s="83">
        <f>IFERROR(DM11+IFERROR(VLOOKUP(B11,'[1]Mar1 Payroll'!$B$9:$FJ$68,160,FALSE),),0)</f>
        <v>0</v>
      </c>
      <c r="FU11" s="83">
        <f>IFERROR(DN11+IFERROR(VLOOKUP(B11,'[1]Mar1 Payroll'!$B$9:$FJ$68,161,FALSE),),0)</f>
        <v>0</v>
      </c>
      <c r="FV11" s="83">
        <f>IFERROR(DO11+IFERROR(VLOOKUP(B11,'[1]Mar1 Payroll'!$B$9:$FJ$68,162,FALSE),),0)</f>
        <v>0</v>
      </c>
      <c r="FW11" s="83">
        <f>IFERROR(DP11+IFERROR(VLOOKUP(B11,'[1]Mar1 Payroll'!$B$9:$FJ$68,163,FALSE),),0)</f>
        <v>0</v>
      </c>
      <c r="FX11" s="83">
        <f t="shared" si="64"/>
        <v>830</v>
      </c>
      <c r="FY11" s="84">
        <f t="shared" si="65"/>
        <v>8580</v>
      </c>
      <c r="FZ11" s="85"/>
      <c r="GA11" s="105"/>
      <c r="GB11" s="86">
        <f t="shared" si="66"/>
        <v>7750</v>
      </c>
      <c r="GC11" s="83">
        <f t="shared" si="67"/>
        <v>0</v>
      </c>
      <c r="GD11" s="83">
        <f t="shared" si="68"/>
        <v>0</v>
      </c>
      <c r="GE11" s="83">
        <f t="shared" si="69"/>
        <v>0</v>
      </c>
      <c r="GF11" s="83">
        <f t="shared" si="70"/>
        <v>0</v>
      </c>
      <c r="GG11" s="83">
        <f t="shared" si="71"/>
        <v>0</v>
      </c>
      <c r="GH11" s="83">
        <f t="shared" si="72"/>
        <v>0</v>
      </c>
      <c r="GI11" s="83">
        <f t="shared" si="73"/>
        <v>0</v>
      </c>
      <c r="GJ11" s="83">
        <f t="shared" si="74"/>
        <v>0</v>
      </c>
      <c r="GK11" s="83">
        <f t="shared" si="75"/>
        <v>0</v>
      </c>
      <c r="GL11" s="83">
        <f t="shared" si="76"/>
        <v>0</v>
      </c>
      <c r="GM11" s="83">
        <f t="shared" si="77"/>
        <v>0</v>
      </c>
      <c r="GN11" s="83">
        <f t="shared" si="78"/>
        <v>0</v>
      </c>
      <c r="GO11" s="83">
        <f t="shared" si="79"/>
        <v>645.83333333333337</v>
      </c>
      <c r="GP11" s="83">
        <f t="shared" si="80"/>
        <v>0</v>
      </c>
      <c r="GQ11" s="83">
        <f t="shared" si="81"/>
        <v>0</v>
      </c>
      <c r="GR11" s="83">
        <f t="shared" si="82"/>
        <v>0</v>
      </c>
      <c r="GS11" s="83">
        <f t="shared" si="83"/>
        <v>0</v>
      </c>
      <c r="GT11" s="83">
        <f t="shared" si="84"/>
        <v>0</v>
      </c>
      <c r="GU11" s="83">
        <f t="shared" si="85"/>
        <v>7750</v>
      </c>
      <c r="GV11" s="83">
        <f t="shared" si="86"/>
        <v>0</v>
      </c>
      <c r="GW11" s="83">
        <f t="shared" si="87"/>
        <v>10</v>
      </c>
      <c r="GX11" s="83">
        <f t="shared" si="88"/>
        <v>620</v>
      </c>
      <c r="GY11" s="83">
        <f t="shared" si="89"/>
        <v>200</v>
      </c>
      <c r="GZ11" s="83">
        <f t="shared" si="90"/>
        <v>0</v>
      </c>
      <c r="HA11" s="83">
        <f t="shared" si="91"/>
        <v>0</v>
      </c>
      <c r="HB11" s="83">
        <f t="shared" si="92"/>
        <v>0</v>
      </c>
      <c r="HC11" s="83">
        <f t="shared" si="93"/>
        <v>0</v>
      </c>
      <c r="HD11" s="83">
        <f t="shared" si="94"/>
        <v>0</v>
      </c>
      <c r="HE11" s="83">
        <f t="shared" si="95"/>
        <v>0</v>
      </c>
      <c r="HF11" s="83">
        <f t="shared" si="96"/>
        <v>0</v>
      </c>
      <c r="HG11" s="83">
        <f t="shared" si="97"/>
        <v>0</v>
      </c>
      <c r="HH11" s="83">
        <f t="shared" si="98"/>
        <v>0</v>
      </c>
      <c r="HI11" s="83">
        <f t="shared" si="99"/>
        <v>830</v>
      </c>
      <c r="HJ11" s="87">
        <f t="shared" si="100"/>
        <v>8580</v>
      </c>
      <c r="HK11" s="105"/>
      <c r="HL11" s="88">
        <f t="shared" si="101"/>
        <v>6642.5</v>
      </c>
      <c r="HM11" s="88">
        <f t="shared" si="102"/>
        <v>0</v>
      </c>
      <c r="HN11" s="88"/>
      <c r="HO11" s="89">
        <v>4</v>
      </c>
      <c r="HP11" s="91">
        <f t="shared" si="103"/>
        <v>7750</v>
      </c>
      <c r="HQ11" s="91">
        <f t="shared" si="104"/>
        <v>7750</v>
      </c>
      <c r="HR11" s="91">
        <f t="shared" si="105"/>
        <v>-1107.5</v>
      </c>
      <c r="HS11" s="91"/>
      <c r="HT11" s="91"/>
      <c r="HU11" s="91"/>
      <c r="HV11" s="91"/>
      <c r="HW11" s="91"/>
      <c r="HX11" s="91"/>
    </row>
    <row r="12" spans="1:232" ht="15" thickBot="1" x14ac:dyDescent="0.3">
      <c r="A12" s="217" t="s">
        <v>210</v>
      </c>
      <c r="B12" s="241" t="s">
        <v>192</v>
      </c>
      <c r="C12" s="169" t="s">
        <v>187</v>
      </c>
      <c r="D12" s="183"/>
      <c r="E12" s="169" t="s">
        <v>190</v>
      </c>
      <c r="F12" s="170" t="s">
        <v>194</v>
      </c>
      <c r="G12" s="171" t="s">
        <v>170</v>
      </c>
      <c r="H12" s="223">
        <v>15500</v>
      </c>
      <c r="I12" s="172">
        <f t="shared" si="0"/>
        <v>0</v>
      </c>
      <c r="J12" s="175">
        <v>13</v>
      </c>
      <c r="K12" s="251">
        <v>13</v>
      </c>
      <c r="L12" s="180">
        <f t="shared" si="1"/>
        <v>596.15384615384619</v>
      </c>
      <c r="M12" s="180">
        <f t="shared" si="2"/>
        <v>74.519230769230774</v>
      </c>
      <c r="N12" s="180">
        <f t="shared" si="3"/>
        <v>1.2419871794871795</v>
      </c>
      <c r="O12" s="174">
        <f t="shared" si="4"/>
        <v>7750</v>
      </c>
      <c r="P12" s="175"/>
      <c r="Q12" s="174">
        <f t="shared" si="5"/>
        <v>0</v>
      </c>
      <c r="R12" s="175"/>
      <c r="S12" s="174">
        <f t="shared" ref="S12:S23" si="107">(M12*1.3)*R12</f>
        <v>0</v>
      </c>
      <c r="T12" s="171"/>
      <c r="U12" s="174">
        <f t="shared" si="6"/>
        <v>0</v>
      </c>
      <c r="V12" s="173">
        <f t="shared" si="7"/>
        <v>0</v>
      </c>
      <c r="W12" s="173">
        <f t="shared" si="8"/>
        <v>0</v>
      </c>
      <c r="X12" s="171"/>
      <c r="Y12" s="174">
        <f t="shared" si="9"/>
        <v>0</v>
      </c>
      <c r="Z12" s="171"/>
      <c r="AA12" s="174">
        <f t="shared" si="10"/>
        <v>0</v>
      </c>
      <c r="AB12" s="171"/>
      <c r="AC12" s="174">
        <f t="shared" si="11"/>
        <v>0</v>
      </c>
      <c r="AD12" s="171"/>
      <c r="AE12" s="174">
        <f t="shared" si="12"/>
        <v>0</v>
      </c>
      <c r="AF12" s="175"/>
      <c r="AG12" s="174">
        <f t="shared" si="13"/>
        <v>0</v>
      </c>
      <c r="AH12" s="171"/>
      <c r="AI12" s="174">
        <f t="shared" si="14"/>
        <v>0</v>
      </c>
      <c r="AJ12" s="171"/>
      <c r="AK12" s="174">
        <f t="shared" si="15"/>
        <v>0</v>
      </c>
      <c r="AL12" s="171"/>
      <c r="AM12" s="174">
        <f t="shared" si="16"/>
        <v>0</v>
      </c>
      <c r="AN12" s="173">
        <f t="shared" si="17"/>
        <v>0</v>
      </c>
      <c r="AO12" s="173">
        <f t="shared" si="18"/>
        <v>0</v>
      </c>
      <c r="AP12" s="171"/>
      <c r="AQ12" s="174">
        <f t="shared" si="19"/>
        <v>0</v>
      </c>
      <c r="AR12" s="171"/>
      <c r="AS12" s="174">
        <f t="shared" si="20"/>
        <v>0</v>
      </c>
      <c r="AT12" s="171"/>
      <c r="AU12" s="174">
        <f t="shared" si="21"/>
        <v>0</v>
      </c>
      <c r="AV12" s="171"/>
      <c r="AW12" s="228">
        <f t="shared" si="22"/>
        <v>0</v>
      </c>
      <c r="AX12" s="171"/>
      <c r="AY12" s="174">
        <f t="shared" si="23"/>
        <v>0</v>
      </c>
      <c r="AZ12" s="171"/>
      <c r="BA12" s="174">
        <f t="shared" si="24"/>
        <v>0</v>
      </c>
      <c r="BB12" s="171"/>
      <c r="BC12" s="174">
        <f t="shared" si="25"/>
        <v>0</v>
      </c>
      <c r="BD12" s="171"/>
      <c r="BE12" s="174">
        <f t="shared" si="26"/>
        <v>0</v>
      </c>
      <c r="BF12" s="171"/>
      <c r="BG12" s="174">
        <f t="shared" si="27"/>
        <v>0</v>
      </c>
      <c r="BH12" s="171"/>
      <c r="BI12" s="174">
        <f t="shared" si="28"/>
        <v>0</v>
      </c>
      <c r="BJ12" s="176">
        <f t="shared" si="29"/>
        <v>0</v>
      </c>
      <c r="BK12" s="173">
        <f t="shared" si="30"/>
        <v>0</v>
      </c>
      <c r="BL12" s="171"/>
      <c r="BM12" s="174"/>
      <c r="BN12" s="174"/>
      <c r="BO12" s="171"/>
      <c r="BP12" s="171"/>
      <c r="BQ12" s="171"/>
      <c r="BR12" s="171"/>
      <c r="BS12" s="174">
        <f t="shared" si="31"/>
        <v>0</v>
      </c>
      <c r="BT12" s="174">
        <f t="shared" si="32"/>
        <v>0</v>
      </c>
      <c r="BU12" s="173">
        <f t="shared" si="33"/>
        <v>0</v>
      </c>
      <c r="BV12" s="173">
        <f t="shared" si="34"/>
        <v>0</v>
      </c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  <c r="CG12" s="171"/>
      <c r="CH12" s="174">
        <f t="shared" si="35"/>
        <v>0</v>
      </c>
      <c r="CI12" s="175"/>
      <c r="CJ12" s="174">
        <f t="shared" si="36"/>
        <v>0</v>
      </c>
      <c r="CK12" s="175"/>
      <c r="CL12" s="174">
        <f t="shared" si="37"/>
        <v>0</v>
      </c>
      <c r="CM12" s="171">
        <f t="shared" si="38"/>
        <v>0</v>
      </c>
      <c r="CN12" s="177">
        <f t="shared" si="39"/>
        <v>0</v>
      </c>
      <c r="CO12" s="173">
        <f t="shared" si="40"/>
        <v>0</v>
      </c>
      <c r="CP12" s="176">
        <f t="shared" si="41"/>
        <v>7750</v>
      </c>
      <c r="CQ12" s="187" t="str">
        <f>_xlfn.IFNA(VLOOKUP(B12,'[1]201'!$E$7:$H$66,2,FALSE),"")</f>
        <v/>
      </c>
      <c r="CR12" s="187" t="str">
        <f>_xlfn.IFNA(VLOOKUP(B12,'[1]201'!$E$7:$H$66,3,FALSE),"")</f>
        <v/>
      </c>
      <c r="CS12" s="187" t="str">
        <f>_xlfn.IFNA(VLOOKUP(B12,'[1]201'!$E$7:$H$66,4,FALSE),"")</f>
        <v/>
      </c>
      <c r="CT12" s="179"/>
      <c r="CU12" s="179"/>
      <c r="CV12" s="179"/>
      <c r="CW12" s="180">
        <v>697.5</v>
      </c>
      <c r="CX12" s="181">
        <v>1472.5</v>
      </c>
      <c r="CY12" s="182">
        <v>10</v>
      </c>
      <c r="CZ12" s="176">
        <f t="shared" si="42"/>
        <v>2180</v>
      </c>
      <c r="DA12" s="181">
        <f t="shared" si="43"/>
        <v>310</v>
      </c>
      <c r="DB12" s="182">
        <f t="shared" si="44"/>
        <v>310</v>
      </c>
      <c r="DC12" s="176">
        <f t="shared" si="45"/>
        <v>620</v>
      </c>
      <c r="DD12" s="181">
        <v>100</v>
      </c>
      <c r="DE12" s="182">
        <v>100</v>
      </c>
      <c r="DF12" s="176">
        <f t="shared" si="46"/>
        <v>200</v>
      </c>
      <c r="DG12" s="176">
        <f t="shared" si="106"/>
        <v>1107.5</v>
      </c>
      <c r="DH12" s="183"/>
      <c r="DI12" s="183"/>
      <c r="DJ12" s="183"/>
      <c r="DK12" s="183"/>
      <c r="DL12" s="176">
        <f t="shared" si="47"/>
        <v>0</v>
      </c>
      <c r="DM12" s="183"/>
      <c r="DN12" s="183"/>
      <c r="DO12" s="183"/>
      <c r="DP12" s="183"/>
      <c r="DQ12" s="172">
        <f t="shared" si="48"/>
        <v>0</v>
      </c>
      <c r="DR12" s="179"/>
      <c r="DS12" s="179"/>
      <c r="DT12" s="175"/>
      <c r="DU12" s="179"/>
      <c r="DV12" s="179"/>
      <c r="DW12" s="220"/>
      <c r="DX12" s="218"/>
      <c r="DY12" s="173">
        <f t="shared" si="49"/>
        <v>0</v>
      </c>
      <c r="DZ12" s="179">
        <v>772.3</v>
      </c>
      <c r="EA12" s="215">
        <v>0</v>
      </c>
      <c r="EB12" s="215"/>
      <c r="EC12" s="215"/>
      <c r="ED12" s="179"/>
      <c r="EE12" s="184"/>
      <c r="EF12" s="185">
        <f t="shared" si="50"/>
        <v>772.3</v>
      </c>
      <c r="EG12" s="176">
        <f t="shared" si="51"/>
        <v>1879.8</v>
      </c>
      <c r="EH12" s="176">
        <f t="shared" si="52"/>
        <v>5870.2</v>
      </c>
      <c r="EI12" s="176">
        <f t="shared" si="53"/>
        <v>8857.5</v>
      </c>
      <c r="EJ12" s="176">
        <f t="shared" si="54"/>
        <v>0</v>
      </c>
      <c r="EK12" s="176">
        <f t="shared" si="55"/>
        <v>0</v>
      </c>
      <c r="EL12" s="176">
        <f t="shared" si="56"/>
        <v>0</v>
      </c>
      <c r="EM12" s="176">
        <f t="shared" si="57"/>
        <v>5870.2</v>
      </c>
      <c r="EN12" s="172">
        <f t="shared" si="58"/>
        <v>645.83333333333337</v>
      </c>
      <c r="EO12" s="234" t="s">
        <v>210</v>
      </c>
      <c r="EP12" s="214">
        <f t="shared" si="59"/>
        <v>645.83333333333337</v>
      </c>
      <c r="EQ12" s="83">
        <f>IFERROR(O12+IFERROR(VLOOKUP(B12,'[1]Mar1 Payroll'!$B$9:$FJ$68,131,FALSE),),0)</f>
        <v>7750</v>
      </c>
      <c r="ER12" s="83">
        <f>IFERROR(Q12+W12+AO12+BK12+BL12+IFERROR(VLOOKUP(B12,'[1]Mar1 Payroll'!$B$9:$FJ$68,132,FALSE),),)</f>
        <v>0</v>
      </c>
      <c r="ES12" s="83">
        <f t="array" ref="ES12">IFERROR(IF(BX12+CB12+CD12+CE12+CF12+EN12+IFERROR(SUM(VLOOKUP(B12,'[1]Mar1 Payroll'!$B$9:$FJ$68,{133,137,140,141,144,146,147,148},FALSE)),)&gt;90000,EN12+IFERROR(SUM(VLOOKUP(B12,'[1]Mar1 Payroll'!$B$9:$FJ$68,{133,144},FALSE)),),IF(BX12+CB12+CD12+CE12+CF12+EN12+IFERROR(SUM(VLOOKUP(B12,'[1]Mar1 Payroll'!$B$9:$EK$68,{133,137,140,141,144,146,147,148},FALSE)),)&lt;90000,0,0)),0)</f>
        <v>0</v>
      </c>
      <c r="ET12" s="83">
        <f>IFERROR(BW12+IFERROR(VLOOKUP(B12,'[1]Mar1 Payroll'!$B$9:$FJ$68,134,FALSE),),0)</f>
        <v>0</v>
      </c>
      <c r="EU12" s="83">
        <f>IFERROR(BU12+IFERROR(VLOOKUP(B12,'[1]Mar1 Payroll'!$B$9:$FJ$68,135,FALSE),),0)</f>
        <v>0</v>
      </c>
      <c r="EV12" s="83">
        <f>IFERROR(BV12+IFERROR(VLOOKUP(B12,'[1]Mar1 Payroll'!$B$9:$FJ$68,136,FALSE),),0)</f>
        <v>0</v>
      </c>
      <c r="EW12" s="83">
        <f t="array" ref="EW12">IFERROR(IF(BX12+CB12+CD12+CE12+CF12+EN12+IFERROR(SUM(VLOOKUP(B12,'[1]Mar1 Payroll'!$B$9:$FJ$68,{133,137,140,141,144,146,147,148},FALSE)),)&gt;90000,BX12+IFERROR(SUM(VLOOKUP(B12,'[1]Mar1 Payroll'!$B$9:$FJ$68,{137,147},FALSE)),),IF(BX12+CB12+CD12+CE12+CF12+EN12+IFERROR(SUM(VLOOKUP(B12,'[1]Mar1 Payroll'!$B$9:$EK$68,{133,137,140,141,144,146,147,148},FALSE)),)&lt;90000,0,0)),0)</f>
        <v>0</v>
      </c>
      <c r="EX12" s="83">
        <f>IFERROR(BY12+IFERROR(VLOOKUP(B12,'[1]Mar1 Payroll'!$B$9:$FJ$68,138,FALSE),),0)</f>
        <v>0</v>
      </c>
      <c r="EY12" s="83">
        <f>IFERROR(BZ12+IFERROR(VLOOKUP(B12,'[1]Mar1 Payroll'!$B$9:$FJ$68,139,FALSE),),0)</f>
        <v>0</v>
      </c>
      <c r="EZ12" s="83">
        <f t="array" ref="EZ12">IFERROR(IF(BX12+CB12+CD12+CE12+CF12+EN12+IFERROR(SUM(VLOOKUP(B12,'[1]Mar1 Payroll'!$B$9:$FJ$68,{133,137,140,141,144,146,147,148},FALSE)),)&gt;90000,CB12+IFERROR(SUM(VLOOKUP(B12,'[1]Mar1 Payroll'!$B$9:$FJ$68,{140,146},FALSE)),),IF(BX12+CB12+CD12+CE12+CF12+EN12+IFERROR(SUM(VLOOKUP(B12,'[1]Mar1 Payroll'!$B$9:$EK$68,{133,137,140,141,144,146,147,148},FALSE)),)&lt;90000,0,0)),0)</f>
        <v>0</v>
      </c>
      <c r="FA12" s="83">
        <f t="array" ref="FA12">IFERROR(IF(BX12+CB12+CD12+CE12+CF12+EN12+IFERROR(SUM(VLOOKUP(B12,'[1]Mar1 Payroll'!$B$9:$FJ$68,{133,137,140,141,144,146,147,148},FALSE)),)&gt;90000,CD12+CE12+CF12+IFERROR(SUM(VLOOKUP(B12,'[1]Mar1 Payroll'!$B$9:$FJ$68,{141,148},FALSE)),),IF(BX12+CB12+CD12+CE12+CF12+EN12+IFERROR(SUM(VLOOKUP(B12,'[1]Mar1 Payroll'!$B$9:$EK$68,{133,137,140,141,144,146,147,148},FALSE)),)&lt;90000,0,0)),0)</f>
        <v>0</v>
      </c>
      <c r="FB12" s="83">
        <f t="shared" si="60"/>
        <v>0</v>
      </c>
      <c r="FC12" s="83">
        <f t="shared" si="61"/>
        <v>0</v>
      </c>
      <c r="FD12" s="83">
        <f t="array" ref="FD12">IFERROR(IF(BX12+CB12+CD12+CE12+CF12+EN12+IFERROR(SUM(VLOOKUP(B12,'[1]Mar1 Payroll'!$B$9:$FJ$68,{133,137,140,141,144,146,147,148},FALSE)),)&gt;90000,0,IF(BX12+CB12+CD12+CE12+CF12+EN12+IFERROR(SUM(VLOOKUP(B12,'[1]Mar1 Payroll'!$B$9:$EK$68,{133,137,140,141,144,146,147,148},FALSE)),)&lt;90000,EN12+IFERROR(SUM(VLOOKUP(B12,'[1]Mar1 Payroll'!$B$9:$FJ$68,{133,144},FALSE)),),)),)</f>
        <v>645.83333333333337</v>
      </c>
      <c r="FE12" s="83">
        <f>IFERROR(CC12+IFERROR(VLOOKUP(B12,'[1]Mar1 Payroll'!$B$9:$FJ$68,145,FALSE),),0)</f>
        <v>0</v>
      </c>
      <c r="FF12" s="83">
        <f t="array" ref="FF12">IFERROR(IF(BX12+CB12+CD12+CE12+CF12+EN12+IFERROR(SUM(VLOOKUP(B12,'[1]Mar1 Payroll'!$B$9:$FJ$68,{133,137,140,141,144,146,147,148},FALSE)),)&gt;90000,0,IF(BX12+CB12+CD12+CE12+CF12+EN12+IFERROR(SUM(VLOOKUP(B12,'[1]Mar1 Payroll'!$B$9:$EK$68,{133,137,140,141,144,146,147,148},FALSE)),)&lt;90000,CB12+IFERROR(SUM(VLOOKUP(B12,'[1]Mar1 Payroll'!$B$9:$FJ$68,{140,146},FALSE)),))),0)</f>
        <v>0</v>
      </c>
      <c r="FG12" s="83">
        <f t="array" ref="FG12">IFERROR(IF(BX12+CB12+CD12+CE12+CF12+EN12+IFERROR(SUM(VLOOKUP(B12,'[1]Mar1 Payroll'!$B$9:$FJ$68,{133,137,140,141,144,146,147,148},FALSE)),)&gt;90000,0,IF(BX12+CB12+CD12+CE12+CF12+EN12+IFERROR(SUM(VLOOKUP(B12,'[1]Mar1 Payroll'!$B$9:$EK$68,{133,137,140,141,144,146,147,148},FALSE)),)&lt;90000,BX12+IFERROR(SUM(VLOOKUP(B12,'[1]Mar1 Payroll'!$B$9:$FJ$68,{137,147},FALSE)),))),0)</f>
        <v>0</v>
      </c>
      <c r="FH12" s="83">
        <f t="array" ref="FH12">IFERROR(IF(BX12+CB12+CD12+CE12+CF12+EN12+IFERROR(SUM(VLOOKUP(B12,'[1]Mar1 Payroll'!$B$9:$FJ$68,{133,137,140,141,144,146,147,148},FALSE)),)&gt;90000,0,IF(BX12+CB12+CD12+CE12+CF12+EN12+IFERROR(SUM(VLOOKUP(B12,'[1]Mar1 Payroll'!$B$9:$EK$68,{133,137,140,141,144,146,147,148},FALSE)),)&lt;90000,CD12+CE12+CF12+IFERROR(SUM(VLOOKUP(B12,'[1]Mar1 Payroll'!$B$9:$FJ$68,{141,148},FALSE)),))),0)</f>
        <v>0</v>
      </c>
      <c r="FI12" s="83">
        <f t="shared" si="62"/>
        <v>0</v>
      </c>
      <c r="FJ12" s="83">
        <f t="shared" si="63"/>
        <v>7750</v>
      </c>
      <c r="FK12" s="83">
        <f>IFERROR(EJ12+EK12+EL12+IFERROR(VLOOKUP(B12,'[1]Mar1 Payroll'!$B$9:$FJ$68,151,FALSE),),0)</f>
        <v>0</v>
      </c>
      <c r="FL12" s="83">
        <f>IFERROR(CY12+IFERROR(VLOOKUP(B12,'[1]Mar1 Payroll'!$B$9:$FJ$68,152,FALSE),),0)</f>
        <v>10</v>
      </c>
      <c r="FM12" s="83">
        <f>IFERROR(DA12+DB12+IFERROR(VLOOKUP(B12,'[1]Mar1 Payroll'!$B$9:$FJ$68,153,FALSE),),0)</f>
        <v>620</v>
      </c>
      <c r="FN12" s="83">
        <f>IFERROR(DD12+DE12+IFERROR(VLOOKUP(B12,'[1]Mar1 Payroll'!$B$9:$FJ$68,154,FALSE),),0)</f>
        <v>200</v>
      </c>
      <c r="FO12" s="83">
        <f>IFERROR(CO12+IFERROR(VLOOKUP(B12,'[1]Mar1 Payroll'!$B$9:$FJ$68,155,FALSE),),0)</f>
        <v>0</v>
      </c>
      <c r="FP12" s="83">
        <f>IFERROR(DZ12+EA12+EF12+IFERROR(VLOOKUP(B12,'[1]Mar1 Payroll'!$B$9:$FJ$68,156,FALSE),),0)</f>
        <v>1544.6</v>
      </c>
      <c r="FQ12" s="83">
        <f>IFERROR(DH12+IFERROR(VLOOKUP(B12,'[1]Mar1 Payroll'!$B$9:$FJ$68,157,FALSE),),0)</f>
        <v>0</v>
      </c>
      <c r="FR12" s="83">
        <f>IFERROR(DI12+IFERROR(VLOOKUP(B12,'[1]Mar1 Payroll'!$B$9:$FJ$68,158,FALSE),),0)</f>
        <v>0</v>
      </c>
      <c r="FS12" s="83">
        <f>IFERROR(DK12+IFERROR(VLOOKUP(B12,'[1]Mar1 Payroll'!$B$9:$FJ$68,159,FALSE),),0)</f>
        <v>0</v>
      </c>
      <c r="FT12" s="83">
        <f>IFERROR(DM12+IFERROR(VLOOKUP(B12,'[1]Mar1 Payroll'!$B$9:$FJ$68,160,FALSE),),0)</f>
        <v>0</v>
      </c>
      <c r="FU12" s="83">
        <f>IFERROR(DN12+IFERROR(VLOOKUP(B12,'[1]Mar1 Payroll'!$B$9:$FJ$68,161,FALSE),),0)</f>
        <v>0</v>
      </c>
      <c r="FV12" s="83">
        <f>IFERROR(DO12+IFERROR(VLOOKUP(B12,'[1]Mar1 Payroll'!$B$9:$FJ$68,162,FALSE),),0)</f>
        <v>0</v>
      </c>
      <c r="FW12" s="83">
        <f>IFERROR(DP12+IFERROR(VLOOKUP(B12,'[1]Mar1 Payroll'!$B$9:$FJ$68,163,FALSE),),0)</f>
        <v>0</v>
      </c>
      <c r="FX12" s="83">
        <f t="shared" si="64"/>
        <v>2374.6</v>
      </c>
      <c r="FY12" s="84">
        <f t="shared" si="65"/>
        <v>10124.6</v>
      </c>
      <c r="FZ12" s="85"/>
      <c r="GA12" s="85"/>
      <c r="GB12" s="86">
        <f t="shared" si="66"/>
        <v>7750</v>
      </c>
      <c r="GC12" s="83">
        <f t="shared" si="67"/>
        <v>0</v>
      </c>
      <c r="GD12" s="83">
        <f t="shared" si="68"/>
        <v>0</v>
      </c>
      <c r="GE12" s="83">
        <f t="shared" si="69"/>
        <v>0</v>
      </c>
      <c r="GF12" s="83">
        <f t="shared" si="70"/>
        <v>0</v>
      </c>
      <c r="GG12" s="83">
        <f t="shared" si="71"/>
        <v>0</v>
      </c>
      <c r="GH12" s="83">
        <f t="shared" si="72"/>
        <v>0</v>
      </c>
      <c r="GI12" s="83">
        <f t="shared" si="73"/>
        <v>0</v>
      </c>
      <c r="GJ12" s="83">
        <f t="shared" si="74"/>
        <v>0</v>
      </c>
      <c r="GK12" s="83">
        <f t="shared" si="75"/>
        <v>0</v>
      </c>
      <c r="GL12" s="83">
        <f t="shared" si="76"/>
        <v>0</v>
      </c>
      <c r="GM12" s="83">
        <f t="shared" si="77"/>
        <v>0</v>
      </c>
      <c r="GN12" s="83">
        <f t="shared" si="78"/>
        <v>0</v>
      </c>
      <c r="GO12" s="83">
        <f t="shared" si="79"/>
        <v>645.83333333333337</v>
      </c>
      <c r="GP12" s="83">
        <f t="shared" si="80"/>
        <v>0</v>
      </c>
      <c r="GQ12" s="83">
        <f t="shared" si="81"/>
        <v>0</v>
      </c>
      <c r="GR12" s="83">
        <f t="shared" si="82"/>
        <v>0</v>
      </c>
      <c r="GS12" s="83">
        <f t="shared" si="83"/>
        <v>0</v>
      </c>
      <c r="GT12" s="83">
        <f t="shared" si="84"/>
        <v>0</v>
      </c>
      <c r="GU12" s="83">
        <f t="shared" si="85"/>
        <v>7750</v>
      </c>
      <c r="GV12" s="83">
        <f t="shared" si="86"/>
        <v>0</v>
      </c>
      <c r="GW12" s="83">
        <f t="shared" si="87"/>
        <v>10</v>
      </c>
      <c r="GX12" s="83">
        <f t="shared" si="88"/>
        <v>620</v>
      </c>
      <c r="GY12" s="83">
        <f t="shared" si="89"/>
        <v>200</v>
      </c>
      <c r="GZ12" s="83">
        <f t="shared" si="90"/>
        <v>0</v>
      </c>
      <c r="HA12" s="83">
        <f t="shared" si="91"/>
        <v>1544.6</v>
      </c>
      <c r="HB12" s="83">
        <f t="shared" si="92"/>
        <v>0</v>
      </c>
      <c r="HC12" s="83">
        <f t="shared" si="93"/>
        <v>0</v>
      </c>
      <c r="HD12" s="83">
        <f t="shared" si="94"/>
        <v>0</v>
      </c>
      <c r="HE12" s="83">
        <f t="shared" si="95"/>
        <v>0</v>
      </c>
      <c r="HF12" s="83">
        <f t="shared" si="96"/>
        <v>0</v>
      </c>
      <c r="HG12" s="83">
        <f t="shared" si="97"/>
        <v>0</v>
      </c>
      <c r="HH12" s="83">
        <f t="shared" si="98"/>
        <v>0</v>
      </c>
      <c r="HI12" s="83">
        <f t="shared" si="99"/>
        <v>2374.6</v>
      </c>
      <c r="HJ12" s="87">
        <f t="shared" si="100"/>
        <v>10124.6</v>
      </c>
      <c r="HK12" s="85" t="s">
        <v>175</v>
      </c>
      <c r="HL12" s="88">
        <f t="shared" si="101"/>
        <v>5870.2</v>
      </c>
      <c r="HM12" s="88">
        <f t="shared" si="102"/>
        <v>0</v>
      </c>
      <c r="HN12" s="88"/>
      <c r="HO12" s="89">
        <v>6</v>
      </c>
      <c r="HP12" s="91">
        <f t="shared" si="103"/>
        <v>7750</v>
      </c>
      <c r="HQ12" s="91">
        <f t="shared" si="104"/>
        <v>6977.7</v>
      </c>
      <c r="HR12" s="91">
        <f t="shared" si="105"/>
        <v>-1107.5</v>
      </c>
    </row>
    <row r="13" spans="1:232" ht="15.75" customHeight="1" thickBot="1" x14ac:dyDescent="0.3">
      <c r="A13" s="217" t="s">
        <v>211</v>
      </c>
      <c r="B13" s="241" t="s">
        <v>193</v>
      </c>
      <c r="C13" s="169" t="s">
        <v>187</v>
      </c>
      <c r="D13" s="183"/>
      <c r="E13" s="169" t="s">
        <v>197</v>
      </c>
      <c r="F13" s="188" t="s">
        <v>194</v>
      </c>
      <c r="G13" s="171" t="s">
        <v>170</v>
      </c>
      <c r="H13" s="223">
        <v>14000</v>
      </c>
      <c r="I13" s="172">
        <f t="shared" si="0"/>
        <v>0</v>
      </c>
      <c r="J13" s="175">
        <v>13</v>
      </c>
      <c r="K13" s="251">
        <v>10</v>
      </c>
      <c r="L13" s="180">
        <f t="shared" si="1"/>
        <v>538.46153846153845</v>
      </c>
      <c r="M13" s="180">
        <f t="shared" si="2"/>
        <v>67.307692307692307</v>
      </c>
      <c r="N13" s="180">
        <f t="shared" si="3"/>
        <v>1.1217948717948718</v>
      </c>
      <c r="O13" s="174">
        <f t="shared" si="4"/>
        <v>7000</v>
      </c>
      <c r="P13" s="175"/>
      <c r="Q13" s="174">
        <f t="shared" si="5"/>
        <v>0</v>
      </c>
      <c r="R13" s="175"/>
      <c r="S13" s="174">
        <f t="shared" si="107"/>
        <v>0</v>
      </c>
      <c r="T13" s="171"/>
      <c r="U13" s="174">
        <f t="shared" si="6"/>
        <v>0</v>
      </c>
      <c r="V13" s="173">
        <f t="shared" si="7"/>
        <v>0</v>
      </c>
      <c r="W13" s="173">
        <f t="shared" si="8"/>
        <v>0</v>
      </c>
      <c r="X13" s="171"/>
      <c r="Y13" s="174">
        <f t="shared" si="9"/>
        <v>0</v>
      </c>
      <c r="Z13" s="171"/>
      <c r="AA13" s="174">
        <f t="shared" si="10"/>
        <v>0</v>
      </c>
      <c r="AB13" s="171"/>
      <c r="AC13" s="174">
        <f t="shared" si="11"/>
        <v>0</v>
      </c>
      <c r="AD13" s="171"/>
      <c r="AE13" s="174">
        <f t="shared" si="12"/>
        <v>0</v>
      </c>
      <c r="AF13" s="175"/>
      <c r="AG13" s="174">
        <f t="shared" si="13"/>
        <v>0</v>
      </c>
      <c r="AH13" s="171"/>
      <c r="AI13" s="174">
        <f t="shared" si="14"/>
        <v>0</v>
      </c>
      <c r="AJ13" s="171"/>
      <c r="AK13" s="174">
        <f t="shared" si="15"/>
        <v>0</v>
      </c>
      <c r="AL13" s="171"/>
      <c r="AM13" s="174">
        <f t="shared" si="16"/>
        <v>0</v>
      </c>
      <c r="AN13" s="173">
        <f t="shared" si="17"/>
        <v>0</v>
      </c>
      <c r="AO13" s="173">
        <f t="shared" si="18"/>
        <v>0</v>
      </c>
      <c r="AP13" s="171"/>
      <c r="AQ13" s="174">
        <f t="shared" si="19"/>
        <v>0</v>
      </c>
      <c r="AR13" s="171"/>
      <c r="AS13" s="174">
        <f t="shared" si="20"/>
        <v>0</v>
      </c>
      <c r="AT13" s="171"/>
      <c r="AU13" s="174">
        <f t="shared" si="21"/>
        <v>0</v>
      </c>
      <c r="AV13" s="171"/>
      <c r="AW13" s="228">
        <f t="shared" si="22"/>
        <v>0</v>
      </c>
      <c r="AX13" s="171"/>
      <c r="AY13" s="174">
        <f t="shared" si="23"/>
        <v>0</v>
      </c>
      <c r="AZ13" s="171"/>
      <c r="BA13" s="174">
        <f t="shared" si="24"/>
        <v>0</v>
      </c>
      <c r="BB13" s="171"/>
      <c r="BC13" s="174">
        <f t="shared" si="25"/>
        <v>0</v>
      </c>
      <c r="BD13" s="171"/>
      <c r="BE13" s="174">
        <f t="shared" si="26"/>
        <v>0</v>
      </c>
      <c r="BF13" s="171"/>
      <c r="BG13" s="174">
        <f t="shared" si="27"/>
        <v>0</v>
      </c>
      <c r="BH13" s="171"/>
      <c r="BI13" s="174">
        <f t="shared" si="28"/>
        <v>0</v>
      </c>
      <c r="BJ13" s="176">
        <f t="shared" si="29"/>
        <v>0</v>
      </c>
      <c r="BK13" s="173">
        <f t="shared" si="30"/>
        <v>0</v>
      </c>
      <c r="BL13" s="171"/>
      <c r="BM13" s="174"/>
      <c r="BN13" s="174"/>
      <c r="BO13" s="171"/>
      <c r="BP13" s="171"/>
      <c r="BQ13" s="171"/>
      <c r="BR13" s="171"/>
      <c r="BS13" s="174">
        <f t="shared" si="31"/>
        <v>0</v>
      </c>
      <c r="BT13" s="174">
        <f t="shared" si="32"/>
        <v>0</v>
      </c>
      <c r="BU13" s="173">
        <f t="shared" si="33"/>
        <v>0</v>
      </c>
      <c r="BV13" s="173">
        <f t="shared" si="34"/>
        <v>0</v>
      </c>
      <c r="BW13" s="171"/>
      <c r="BX13" s="171"/>
      <c r="BY13" s="171"/>
      <c r="BZ13" s="171"/>
      <c r="CA13" s="171"/>
      <c r="CB13" s="171"/>
      <c r="CC13" s="171"/>
      <c r="CD13" s="171"/>
      <c r="CE13" s="171"/>
      <c r="CF13" s="171"/>
      <c r="CG13" s="171"/>
      <c r="CH13" s="174">
        <f t="shared" si="35"/>
        <v>0</v>
      </c>
      <c r="CI13" s="175"/>
      <c r="CJ13" s="174">
        <f t="shared" si="36"/>
        <v>0</v>
      </c>
      <c r="CK13" s="175"/>
      <c r="CL13" s="174">
        <f t="shared" si="37"/>
        <v>0</v>
      </c>
      <c r="CM13" s="171">
        <f t="shared" si="38"/>
        <v>3</v>
      </c>
      <c r="CN13" s="177">
        <f t="shared" si="39"/>
        <v>-1615.3846153846152</v>
      </c>
      <c r="CO13" s="173">
        <f t="shared" si="40"/>
        <v>-1615.3846153846152</v>
      </c>
      <c r="CP13" s="176">
        <f t="shared" si="41"/>
        <v>5384.6153846153848</v>
      </c>
      <c r="CQ13" s="178" t="str">
        <f>_xlfn.IFNA(VLOOKUP(B13,'[1]201'!$E$7:$H$66,2,FALSE),"")</f>
        <v/>
      </c>
      <c r="CR13" s="178" t="str">
        <f>_xlfn.IFNA(VLOOKUP(B13,'[1]201'!$E$7:$H$66,3,FALSE),"")</f>
        <v/>
      </c>
      <c r="CS13" s="178" t="str">
        <f>_xlfn.IFNA(VLOOKUP(B13,'[1]201'!$E$7:$H$66,4,FALSE),"")</f>
        <v/>
      </c>
      <c r="CT13" s="179"/>
      <c r="CU13" s="179"/>
      <c r="CV13" s="179"/>
      <c r="CW13" s="180">
        <v>630</v>
      </c>
      <c r="CX13" s="181">
        <v>1330</v>
      </c>
      <c r="CY13" s="182">
        <v>10</v>
      </c>
      <c r="CZ13" s="176">
        <f t="shared" si="42"/>
        <v>1970</v>
      </c>
      <c r="DA13" s="181">
        <f t="shared" si="43"/>
        <v>280</v>
      </c>
      <c r="DB13" s="182">
        <f t="shared" si="44"/>
        <v>280</v>
      </c>
      <c r="DC13" s="176">
        <f t="shared" si="45"/>
        <v>560</v>
      </c>
      <c r="DD13" s="181">
        <v>100</v>
      </c>
      <c r="DE13" s="182">
        <v>100</v>
      </c>
      <c r="DF13" s="176">
        <f t="shared" si="46"/>
        <v>200</v>
      </c>
      <c r="DG13" s="176">
        <f t="shared" si="106"/>
        <v>1010</v>
      </c>
      <c r="DH13" s="221"/>
      <c r="DI13" s="183"/>
      <c r="DJ13" s="221"/>
      <c r="DK13" s="183"/>
      <c r="DL13" s="176">
        <f t="shared" si="47"/>
        <v>0</v>
      </c>
      <c r="DM13" s="183"/>
      <c r="DN13" s="183"/>
      <c r="DO13" s="183"/>
      <c r="DP13" s="183"/>
      <c r="DQ13" s="172">
        <f t="shared" si="48"/>
        <v>0</v>
      </c>
      <c r="DR13" s="184"/>
      <c r="DS13" s="184"/>
      <c r="DT13" s="175"/>
      <c r="DU13" s="184"/>
      <c r="DV13" s="184"/>
      <c r="DW13" s="220"/>
      <c r="DX13" s="218"/>
      <c r="DY13" s="173">
        <f t="shared" si="49"/>
        <v>0</v>
      </c>
      <c r="DZ13" s="184"/>
      <c r="EA13" s="184"/>
      <c r="EB13" s="184"/>
      <c r="EC13" s="215"/>
      <c r="ED13" s="184"/>
      <c r="EE13" s="184"/>
      <c r="EF13" s="185">
        <f t="shared" si="50"/>
        <v>0</v>
      </c>
      <c r="EG13" s="176">
        <f t="shared" si="51"/>
        <v>1010</v>
      </c>
      <c r="EH13" s="176">
        <f t="shared" si="52"/>
        <v>4374.6153846153848</v>
      </c>
      <c r="EI13" s="176">
        <f t="shared" si="53"/>
        <v>8010</v>
      </c>
      <c r="EJ13" s="176">
        <f t="shared" si="54"/>
        <v>0</v>
      </c>
      <c r="EK13" s="176">
        <f t="shared" si="55"/>
        <v>0</v>
      </c>
      <c r="EL13" s="176">
        <f t="shared" si="56"/>
        <v>0</v>
      </c>
      <c r="EM13" s="176">
        <f t="shared" si="57"/>
        <v>4374.6153846153848</v>
      </c>
      <c r="EN13" s="172">
        <f t="shared" si="58"/>
        <v>448.71794871794873</v>
      </c>
      <c r="EO13" s="234" t="s">
        <v>211</v>
      </c>
      <c r="EP13" s="214">
        <f t="shared" si="59"/>
        <v>448.71794871794873</v>
      </c>
      <c r="EQ13" s="83">
        <f>IFERROR(O13+IFERROR(VLOOKUP(B13,'[1]Mar1 Payroll'!$B$9:$FJ$68,131,FALSE),),0)</f>
        <v>7000</v>
      </c>
      <c r="ER13" s="83">
        <f>IFERROR(Q13+W13+AO13+BK13+BL13+IFERROR(VLOOKUP(B13,'[1]Mar1 Payroll'!$B$9:$FJ$68,132,FALSE),),)</f>
        <v>0</v>
      </c>
      <c r="ES13" s="83">
        <f t="array" ref="ES13">IFERROR(IF(BX13+CB13+CD13+CE13+CF13+EN13+IFERROR(SUM(VLOOKUP(B13,'[1]Mar1 Payroll'!$B$9:$FJ$68,{133,137,140,141,144,146,147,148},FALSE)),)&gt;90000,EN13+IFERROR(SUM(VLOOKUP(B13,'[1]Mar1 Payroll'!$B$9:$FJ$68,{133,144},FALSE)),),IF(BX13+CB13+CD13+CE13+CF13+EN13+IFERROR(SUM(VLOOKUP(B13,'[1]Mar1 Payroll'!$B$9:$EK$68,{133,137,140,141,144,146,147,148},FALSE)),)&lt;90000,0,0)),0)</f>
        <v>0</v>
      </c>
      <c r="ET13" s="83">
        <f>IFERROR(BW13+IFERROR(VLOOKUP(B13,'[1]Mar1 Payroll'!$B$9:$FJ$68,134,FALSE),),0)</f>
        <v>0</v>
      </c>
      <c r="EU13" s="83">
        <f>IFERROR(BU13+IFERROR(VLOOKUP(B13,'[1]Mar1 Payroll'!$B$9:$FJ$68,135,FALSE),),0)</f>
        <v>0</v>
      </c>
      <c r="EV13" s="83">
        <f>IFERROR(BV13+IFERROR(VLOOKUP(B13,'[1]Mar1 Payroll'!$B$9:$FJ$68,136,FALSE),),0)</f>
        <v>0</v>
      </c>
      <c r="EW13" s="83">
        <f t="array" ref="EW13">IFERROR(IF(BX13+CB13+CD13+CE13+CF13+EN13+IFERROR(SUM(VLOOKUP(B13,'[1]Mar1 Payroll'!$B$9:$FJ$68,{133,137,140,141,144,146,147,148},FALSE)),)&gt;90000,BX13+IFERROR(SUM(VLOOKUP(B13,'[1]Mar1 Payroll'!$B$9:$FJ$68,{137,147},FALSE)),),IF(BX13+CB13+CD13+CE13+CF13+EN13+IFERROR(SUM(VLOOKUP(B13,'[1]Mar1 Payroll'!$B$9:$EK$68,{133,137,140,141,144,146,147,148},FALSE)),)&lt;90000,0,0)),0)</f>
        <v>0</v>
      </c>
      <c r="EX13" s="83">
        <f>IFERROR(BY13+IFERROR(VLOOKUP(B13,'[1]Mar1 Payroll'!$B$9:$FJ$68,138,FALSE),),0)</f>
        <v>0</v>
      </c>
      <c r="EY13" s="83">
        <f>IFERROR(BZ13+IFERROR(VLOOKUP(B13,'[1]Mar1 Payroll'!$B$9:$FJ$68,139,FALSE),),0)</f>
        <v>0</v>
      </c>
      <c r="EZ13" s="83">
        <f t="array" ref="EZ13">IFERROR(IF(BX13+CB13+CD13+CE13+CF13+EN13+IFERROR(SUM(VLOOKUP(B13,'[1]Mar1 Payroll'!$B$9:$FJ$68,{133,137,140,141,144,146,147,148},FALSE)),)&gt;90000,CB13+IFERROR(SUM(VLOOKUP(B13,'[1]Mar1 Payroll'!$B$9:$FJ$68,{140,146},FALSE)),),IF(BX13+CB13+CD13+CE13+CF13+EN13+IFERROR(SUM(VLOOKUP(B13,'[1]Mar1 Payroll'!$B$9:$EK$68,{133,137,140,141,144,146,147,148},FALSE)),)&lt;90000,0,0)),0)</f>
        <v>0</v>
      </c>
      <c r="FA13" s="83">
        <f t="array" ref="FA13">IFERROR(IF(BX13+CB13+CD13+CE13+CF13+EN13+IFERROR(SUM(VLOOKUP(B13,'[1]Mar1 Payroll'!$B$9:$FJ$68,{133,137,140,141,144,146,147,148},FALSE)),)&gt;90000,CD13+CE13+CF13+IFERROR(SUM(VLOOKUP(B13,'[1]Mar1 Payroll'!$B$9:$FJ$68,{141,148},FALSE)),),IF(BX13+CB13+CD13+CE13+CF13+EN13+IFERROR(SUM(VLOOKUP(B13,'[1]Mar1 Payroll'!$B$9:$EK$68,{133,137,140,141,144,146,147,148},FALSE)),)&lt;90000,0,0)),0)</f>
        <v>0</v>
      </c>
      <c r="FB13" s="83">
        <f t="shared" si="60"/>
        <v>0</v>
      </c>
      <c r="FC13" s="83">
        <f t="shared" si="61"/>
        <v>0</v>
      </c>
      <c r="FD13" s="83">
        <f t="array" ref="FD13">IFERROR(IF(BX13+CB13+CD13+CE13+CF13+EN13+IFERROR(SUM(VLOOKUP(B13,'[1]Mar1 Payroll'!$B$9:$FJ$68,{133,137,140,141,144,146,147,148},FALSE)),)&gt;90000,0,IF(BX13+CB13+CD13+CE13+CF13+EN13+IFERROR(SUM(VLOOKUP(B13,'[1]Mar1 Payroll'!$B$9:$EK$68,{133,137,140,141,144,146,147,148},FALSE)),)&lt;90000,EN13+IFERROR(SUM(VLOOKUP(B13,'[1]Mar1 Payroll'!$B$9:$FJ$68,{133,144},FALSE)),),)),)</f>
        <v>448.71794871794873</v>
      </c>
      <c r="FE13" s="83">
        <f>IFERROR(CC13+IFERROR(VLOOKUP(B13,'[1]Mar1 Payroll'!$B$9:$FJ$68,145,FALSE),),0)</f>
        <v>0</v>
      </c>
      <c r="FF13" s="83">
        <f t="array" ref="FF13">IFERROR(IF(BX13+CB13+CD13+CE13+CF13+EN13+IFERROR(SUM(VLOOKUP(B13,'[1]Mar1 Payroll'!$B$9:$FJ$68,{133,137,140,141,144,146,147,148},FALSE)),)&gt;90000,0,IF(BX13+CB13+CD13+CE13+CF13+EN13+IFERROR(SUM(VLOOKUP(B13,'[1]Mar1 Payroll'!$B$9:$EK$68,{133,137,140,141,144,146,147,148},FALSE)),)&lt;90000,CB13+IFERROR(SUM(VLOOKUP(B13,'[1]Mar1 Payroll'!$B$9:$FJ$68,{140,146},FALSE)),))),0)</f>
        <v>0</v>
      </c>
      <c r="FG13" s="83">
        <f t="array" ref="FG13">IFERROR(IF(BX13+CB13+CD13+CE13+CF13+EN13+IFERROR(SUM(VLOOKUP(B13,'[1]Mar1 Payroll'!$B$9:$FJ$68,{133,137,140,141,144,146,147,148},FALSE)),)&gt;90000,0,IF(BX13+CB13+CD13+CE13+CF13+EN13+IFERROR(SUM(VLOOKUP(B13,'[1]Mar1 Payroll'!$B$9:$EK$68,{133,137,140,141,144,146,147,148},FALSE)),)&lt;90000,BX13+IFERROR(SUM(VLOOKUP(B13,'[1]Mar1 Payroll'!$B$9:$FJ$68,{137,147},FALSE)),))),0)</f>
        <v>0</v>
      </c>
      <c r="FH13" s="83">
        <f t="array" ref="FH13">IFERROR(IF(BX13+CB13+CD13+CE13+CF13+EN13+IFERROR(SUM(VLOOKUP(B13,'[1]Mar1 Payroll'!$B$9:$FJ$68,{133,137,140,141,144,146,147,148},FALSE)),)&gt;90000,0,IF(BX13+CB13+CD13+CE13+CF13+EN13+IFERROR(SUM(VLOOKUP(B13,'[1]Mar1 Payroll'!$B$9:$EK$68,{133,137,140,141,144,146,147,148},FALSE)),)&lt;90000,CD13+CE13+CF13+IFERROR(SUM(VLOOKUP(B13,'[1]Mar1 Payroll'!$B$9:$FJ$68,{141,148},FALSE)),))),0)</f>
        <v>0</v>
      </c>
      <c r="FI13" s="83">
        <f t="shared" si="62"/>
        <v>0</v>
      </c>
      <c r="FJ13" s="83">
        <f t="shared" si="63"/>
        <v>7000</v>
      </c>
      <c r="FK13" s="83">
        <f>IFERROR(EJ13+EK13+EL13+IFERROR(VLOOKUP(B13,'[1]Mar1 Payroll'!$B$9:$FJ$68,151,FALSE),),0)</f>
        <v>0</v>
      </c>
      <c r="FL13" s="83">
        <f>IFERROR(CY13+IFERROR(VLOOKUP(B13,'[1]Mar1 Payroll'!$B$9:$FJ$68,152,FALSE),),0)</f>
        <v>10</v>
      </c>
      <c r="FM13" s="83">
        <f>IFERROR(DA13+DB13+IFERROR(VLOOKUP(B13,'[1]Mar1 Payroll'!$B$9:$FJ$68,153,FALSE),),0)</f>
        <v>560</v>
      </c>
      <c r="FN13" s="83">
        <f>IFERROR(DD13+DE13+IFERROR(VLOOKUP(B13,'[1]Mar1 Payroll'!$B$9:$FJ$68,154,FALSE),),0)</f>
        <v>200</v>
      </c>
      <c r="FO13" s="83">
        <f>IFERROR(CO13+IFERROR(VLOOKUP(B13,'[1]Mar1 Payroll'!$B$9:$FJ$68,155,FALSE),),0)</f>
        <v>-1615.3846153846152</v>
      </c>
      <c r="FP13" s="83">
        <f>IFERROR(DZ13+EA13+EF13+IFERROR(VLOOKUP(B13,'[1]Mar1 Payroll'!$B$9:$FJ$68,156,FALSE),),0)</f>
        <v>0</v>
      </c>
      <c r="FQ13" s="83">
        <f>IFERROR(DH13+IFERROR(VLOOKUP(B13,'[1]Mar1 Payroll'!$B$9:$FJ$68,157,FALSE),),0)</f>
        <v>0</v>
      </c>
      <c r="FR13" s="83">
        <f>IFERROR(DI13+IFERROR(VLOOKUP(B13,'[1]Mar1 Payroll'!$B$9:$FJ$68,158,FALSE),),0)</f>
        <v>0</v>
      </c>
      <c r="FS13" s="83">
        <f>IFERROR(DK13+IFERROR(VLOOKUP(B13,'[1]Mar1 Payroll'!$B$9:$FJ$68,159,FALSE),),0)</f>
        <v>0</v>
      </c>
      <c r="FT13" s="83">
        <f>IFERROR(DM13+IFERROR(VLOOKUP(B13,'[1]Mar1 Payroll'!$B$9:$FJ$68,160,FALSE),),0)</f>
        <v>0</v>
      </c>
      <c r="FU13" s="83">
        <f>IFERROR(DN13+IFERROR(VLOOKUP(B13,'[1]Mar1 Payroll'!$B$9:$FJ$68,161,FALSE),),0)</f>
        <v>0</v>
      </c>
      <c r="FV13" s="83">
        <f>IFERROR(DO13+IFERROR(VLOOKUP(B13,'[1]Mar1 Payroll'!$B$9:$FJ$68,162,FALSE),),0)</f>
        <v>0</v>
      </c>
      <c r="FW13" s="83">
        <f>IFERROR(DP13+IFERROR(VLOOKUP(B13,'[1]Mar1 Payroll'!$B$9:$FJ$68,163,FALSE),),0)</f>
        <v>0</v>
      </c>
      <c r="FX13" s="83">
        <f t="shared" si="64"/>
        <v>-845.38461538461524</v>
      </c>
      <c r="FY13" s="84">
        <f t="shared" si="65"/>
        <v>6154.6153846153848</v>
      </c>
      <c r="FZ13" s="85"/>
      <c r="GA13" s="85"/>
      <c r="GB13" s="86">
        <f t="shared" si="66"/>
        <v>7000</v>
      </c>
      <c r="GC13" s="83">
        <f t="shared" si="67"/>
        <v>0</v>
      </c>
      <c r="GD13" s="83">
        <f t="shared" si="68"/>
        <v>0</v>
      </c>
      <c r="GE13" s="83">
        <f t="shared" si="69"/>
        <v>0</v>
      </c>
      <c r="GF13" s="83">
        <f t="shared" si="70"/>
        <v>0</v>
      </c>
      <c r="GG13" s="83">
        <f t="shared" si="71"/>
        <v>0</v>
      </c>
      <c r="GH13" s="83">
        <f t="shared" si="72"/>
        <v>0</v>
      </c>
      <c r="GI13" s="83">
        <f t="shared" si="73"/>
        <v>0</v>
      </c>
      <c r="GJ13" s="83">
        <f t="shared" si="74"/>
        <v>0</v>
      </c>
      <c r="GK13" s="83">
        <f t="shared" si="75"/>
        <v>0</v>
      </c>
      <c r="GL13" s="83">
        <f t="shared" si="76"/>
        <v>0</v>
      </c>
      <c r="GM13" s="83">
        <f t="shared" si="77"/>
        <v>0</v>
      </c>
      <c r="GN13" s="83">
        <f t="shared" si="78"/>
        <v>0</v>
      </c>
      <c r="GO13" s="83">
        <f t="shared" si="79"/>
        <v>448.71794871794873</v>
      </c>
      <c r="GP13" s="83">
        <f t="shared" si="80"/>
        <v>0</v>
      </c>
      <c r="GQ13" s="83">
        <f t="shared" si="81"/>
        <v>0</v>
      </c>
      <c r="GR13" s="83">
        <f t="shared" si="82"/>
        <v>0</v>
      </c>
      <c r="GS13" s="83">
        <f t="shared" si="83"/>
        <v>0</v>
      </c>
      <c r="GT13" s="83">
        <f t="shared" si="84"/>
        <v>0</v>
      </c>
      <c r="GU13" s="83">
        <f t="shared" si="85"/>
        <v>7000</v>
      </c>
      <c r="GV13" s="83">
        <f t="shared" si="86"/>
        <v>0</v>
      </c>
      <c r="GW13" s="83">
        <f t="shared" si="87"/>
        <v>10</v>
      </c>
      <c r="GX13" s="83">
        <f t="shared" si="88"/>
        <v>560</v>
      </c>
      <c r="GY13" s="83">
        <f t="shared" si="89"/>
        <v>200</v>
      </c>
      <c r="GZ13" s="83">
        <f t="shared" si="90"/>
        <v>-1615.3846153846152</v>
      </c>
      <c r="HA13" s="83">
        <f t="shared" si="91"/>
        <v>0</v>
      </c>
      <c r="HB13" s="83">
        <f t="shared" si="92"/>
        <v>0</v>
      </c>
      <c r="HC13" s="83">
        <f t="shared" si="93"/>
        <v>0</v>
      </c>
      <c r="HD13" s="83">
        <f t="shared" si="94"/>
        <v>0</v>
      </c>
      <c r="HE13" s="83">
        <f t="shared" si="95"/>
        <v>0</v>
      </c>
      <c r="HF13" s="83">
        <f t="shared" si="96"/>
        <v>0</v>
      </c>
      <c r="HG13" s="83">
        <f t="shared" si="97"/>
        <v>0</v>
      </c>
      <c r="HH13" s="83">
        <f t="shared" si="98"/>
        <v>0</v>
      </c>
      <c r="HI13" s="83">
        <f t="shared" si="99"/>
        <v>-845.38461538461524</v>
      </c>
      <c r="HJ13" s="87">
        <f t="shared" si="100"/>
        <v>6154.6153846153848</v>
      </c>
      <c r="HK13" s="186" t="s">
        <v>173</v>
      </c>
      <c r="HL13" s="88">
        <f t="shared" si="101"/>
        <v>4374.6153846153848</v>
      </c>
      <c r="HM13" s="88">
        <f t="shared" si="102"/>
        <v>0</v>
      </c>
      <c r="HN13" s="88"/>
      <c r="HO13" s="89">
        <v>13</v>
      </c>
      <c r="HP13" s="91">
        <f t="shared" si="103"/>
        <v>5384.6153846153848</v>
      </c>
      <c r="HQ13" s="91">
        <f t="shared" si="104"/>
        <v>5384.6153846153848</v>
      </c>
      <c r="HR13" s="91">
        <f t="shared" si="105"/>
        <v>-1010</v>
      </c>
    </row>
    <row r="14" spans="1:232" s="97" customFormat="1" ht="18" customHeight="1" thickBot="1" x14ac:dyDescent="0.3">
      <c r="A14" s="217" t="s">
        <v>212</v>
      </c>
      <c r="B14" s="241" t="s">
        <v>204</v>
      </c>
      <c r="C14" s="169" t="s">
        <v>187</v>
      </c>
      <c r="D14" s="183"/>
      <c r="E14" s="169" t="s">
        <v>190</v>
      </c>
      <c r="F14" s="170" t="s">
        <v>194</v>
      </c>
      <c r="G14" s="171" t="s">
        <v>170</v>
      </c>
      <c r="H14" s="223">
        <v>15500</v>
      </c>
      <c r="I14" s="172">
        <f t="shared" si="0"/>
        <v>0</v>
      </c>
      <c r="J14" s="175">
        <v>13</v>
      </c>
      <c r="K14" s="251">
        <v>13</v>
      </c>
      <c r="L14" s="180">
        <f t="shared" si="1"/>
        <v>596.15384615384619</v>
      </c>
      <c r="M14" s="180">
        <f t="shared" si="2"/>
        <v>74.519230769230774</v>
      </c>
      <c r="N14" s="180">
        <f t="shared" si="3"/>
        <v>1.2419871794871795</v>
      </c>
      <c r="O14" s="174">
        <f t="shared" si="4"/>
        <v>7750</v>
      </c>
      <c r="P14" s="175"/>
      <c r="Q14" s="174">
        <f t="shared" si="5"/>
        <v>0</v>
      </c>
      <c r="R14" s="175"/>
      <c r="S14" s="174">
        <f t="shared" si="107"/>
        <v>0</v>
      </c>
      <c r="T14" s="171"/>
      <c r="U14" s="174">
        <f t="shared" si="6"/>
        <v>0</v>
      </c>
      <c r="V14" s="173">
        <f t="shared" si="7"/>
        <v>0</v>
      </c>
      <c r="W14" s="173">
        <f t="shared" si="8"/>
        <v>0</v>
      </c>
      <c r="X14" s="171"/>
      <c r="Y14" s="174">
        <f t="shared" si="9"/>
        <v>0</v>
      </c>
      <c r="Z14" s="171"/>
      <c r="AA14" s="174">
        <f t="shared" si="10"/>
        <v>0</v>
      </c>
      <c r="AB14" s="171"/>
      <c r="AC14" s="174">
        <f t="shared" si="11"/>
        <v>0</v>
      </c>
      <c r="AD14" s="171"/>
      <c r="AE14" s="174">
        <f t="shared" si="12"/>
        <v>0</v>
      </c>
      <c r="AF14" s="175"/>
      <c r="AG14" s="174">
        <f t="shared" si="13"/>
        <v>0</v>
      </c>
      <c r="AH14" s="171"/>
      <c r="AI14" s="174">
        <f t="shared" si="14"/>
        <v>0</v>
      </c>
      <c r="AJ14" s="171"/>
      <c r="AK14" s="174">
        <f t="shared" si="15"/>
        <v>0</v>
      </c>
      <c r="AL14" s="171"/>
      <c r="AM14" s="174">
        <f t="shared" si="16"/>
        <v>0</v>
      </c>
      <c r="AN14" s="173">
        <f t="shared" si="17"/>
        <v>0</v>
      </c>
      <c r="AO14" s="173">
        <f t="shared" si="18"/>
        <v>0</v>
      </c>
      <c r="AP14" s="171"/>
      <c r="AQ14" s="174">
        <f t="shared" si="19"/>
        <v>0</v>
      </c>
      <c r="AR14" s="171"/>
      <c r="AS14" s="174">
        <f t="shared" si="20"/>
        <v>0</v>
      </c>
      <c r="AT14" s="171"/>
      <c r="AU14" s="174">
        <f t="shared" si="21"/>
        <v>0</v>
      </c>
      <c r="AV14" s="171"/>
      <c r="AW14" s="228">
        <f t="shared" si="22"/>
        <v>0</v>
      </c>
      <c r="AX14" s="171"/>
      <c r="AY14" s="174">
        <f t="shared" si="23"/>
        <v>0</v>
      </c>
      <c r="AZ14" s="171"/>
      <c r="BA14" s="174">
        <f t="shared" si="24"/>
        <v>0</v>
      </c>
      <c r="BB14" s="171"/>
      <c r="BC14" s="174">
        <f t="shared" si="25"/>
        <v>0</v>
      </c>
      <c r="BD14" s="171"/>
      <c r="BE14" s="174">
        <f t="shared" si="26"/>
        <v>0</v>
      </c>
      <c r="BF14" s="171"/>
      <c r="BG14" s="174">
        <f t="shared" si="27"/>
        <v>0</v>
      </c>
      <c r="BH14" s="171"/>
      <c r="BI14" s="174">
        <f t="shared" si="28"/>
        <v>0</v>
      </c>
      <c r="BJ14" s="176">
        <f t="shared" si="29"/>
        <v>0</v>
      </c>
      <c r="BK14" s="173">
        <f t="shared" si="30"/>
        <v>0</v>
      </c>
      <c r="BL14" s="171"/>
      <c r="BM14" s="174"/>
      <c r="BN14" s="174"/>
      <c r="BO14" s="171"/>
      <c r="BP14" s="171"/>
      <c r="BQ14" s="171"/>
      <c r="BR14" s="171"/>
      <c r="BS14" s="174">
        <f t="shared" si="31"/>
        <v>0</v>
      </c>
      <c r="BT14" s="174">
        <f t="shared" si="32"/>
        <v>0</v>
      </c>
      <c r="BU14" s="173">
        <f t="shared" si="33"/>
        <v>0</v>
      </c>
      <c r="BV14" s="173">
        <f t="shared" si="34"/>
        <v>0</v>
      </c>
      <c r="BW14" s="171"/>
      <c r="BX14" s="171"/>
      <c r="BY14" s="171"/>
      <c r="BZ14" s="171"/>
      <c r="CA14" s="171"/>
      <c r="CB14" s="171"/>
      <c r="CC14" s="171"/>
      <c r="CD14" s="171"/>
      <c r="CE14" s="171"/>
      <c r="CF14" s="171"/>
      <c r="CG14" s="171"/>
      <c r="CH14" s="174">
        <f t="shared" si="35"/>
        <v>0</v>
      </c>
      <c r="CI14" s="175"/>
      <c r="CJ14" s="174">
        <f t="shared" si="36"/>
        <v>0</v>
      </c>
      <c r="CK14" s="175"/>
      <c r="CL14" s="174">
        <f t="shared" si="37"/>
        <v>0</v>
      </c>
      <c r="CM14" s="171">
        <f t="shared" si="38"/>
        <v>0</v>
      </c>
      <c r="CN14" s="177">
        <f t="shared" si="39"/>
        <v>0</v>
      </c>
      <c r="CO14" s="173">
        <f t="shared" si="40"/>
        <v>0</v>
      </c>
      <c r="CP14" s="176">
        <f t="shared" si="41"/>
        <v>7750</v>
      </c>
      <c r="CQ14" s="187" t="str">
        <f>_xlfn.IFNA(VLOOKUP(B14,'[1]201'!$E$7:$H$66,2,FALSE),"")</f>
        <v/>
      </c>
      <c r="CR14" s="187" t="str">
        <f>_xlfn.IFNA(VLOOKUP(B14,'[1]201'!$E$7:$H$66,3,FALSE),"")</f>
        <v/>
      </c>
      <c r="CS14" s="187" t="str">
        <f>_xlfn.IFNA(VLOOKUP(B14,'[1]201'!$E$7:$H$66,4,FALSE),"")</f>
        <v/>
      </c>
      <c r="CT14" s="179"/>
      <c r="CU14" s="179"/>
      <c r="CV14" s="179"/>
      <c r="CW14" s="180">
        <v>697.5</v>
      </c>
      <c r="CX14" s="181">
        <v>1472.5</v>
      </c>
      <c r="CY14" s="182">
        <v>10</v>
      </c>
      <c r="CZ14" s="176">
        <f t="shared" si="42"/>
        <v>2180</v>
      </c>
      <c r="DA14" s="181">
        <f t="shared" si="43"/>
        <v>310</v>
      </c>
      <c r="DB14" s="182">
        <f t="shared" si="44"/>
        <v>310</v>
      </c>
      <c r="DC14" s="176">
        <f t="shared" si="45"/>
        <v>620</v>
      </c>
      <c r="DD14" s="181">
        <v>100</v>
      </c>
      <c r="DE14" s="182">
        <v>100</v>
      </c>
      <c r="DF14" s="176">
        <f t="shared" si="46"/>
        <v>200</v>
      </c>
      <c r="DG14" s="176">
        <f t="shared" si="106"/>
        <v>1107.5</v>
      </c>
      <c r="DH14" s="183"/>
      <c r="DI14" s="183"/>
      <c r="DJ14" s="183"/>
      <c r="DK14" s="183"/>
      <c r="DL14" s="176">
        <f t="shared" si="47"/>
        <v>0</v>
      </c>
      <c r="DM14" s="183"/>
      <c r="DN14" s="183"/>
      <c r="DO14" s="183"/>
      <c r="DP14" s="183"/>
      <c r="DQ14" s="172">
        <f t="shared" si="48"/>
        <v>0</v>
      </c>
      <c r="DR14" s="179"/>
      <c r="DS14" s="179"/>
      <c r="DT14" s="175"/>
      <c r="DU14" s="179"/>
      <c r="DV14" s="179"/>
      <c r="DW14" s="220"/>
      <c r="DX14" s="218"/>
      <c r="DY14" s="173">
        <f t="shared" si="49"/>
        <v>0</v>
      </c>
      <c r="DZ14" s="179"/>
      <c r="EA14" s="215"/>
      <c r="EB14" s="215"/>
      <c r="EC14" s="215"/>
      <c r="ED14" s="179"/>
      <c r="EE14" s="184"/>
      <c r="EF14" s="185">
        <f t="shared" si="50"/>
        <v>0</v>
      </c>
      <c r="EG14" s="176">
        <f t="shared" si="51"/>
        <v>1107.5</v>
      </c>
      <c r="EH14" s="176">
        <f t="shared" si="52"/>
        <v>6642.5</v>
      </c>
      <c r="EI14" s="176">
        <f t="shared" si="53"/>
        <v>8857.5</v>
      </c>
      <c r="EJ14" s="176">
        <f t="shared" si="54"/>
        <v>0</v>
      </c>
      <c r="EK14" s="176">
        <f t="shared" si="55"/>
        <v>0</v>
      </c>
      <c r="EL14" s="176">
        <f t="shared" si="56"/>
        <v>0</v>
      </c>
      <c r="EM14" s="176">
        <f t="shared" si="57"/>
        <v>6642.5</v>
      </c>
      <c r="EN14" s="172">
        <f t="shared" si="58"/>
        <v>645.83333333333337</v>
      </c>
      <c r="EO14" s="234" t="s">
        <v>212</v>
      </c>
      <c r="EP14" s="214">
        <f t="shared" si="59"/>
        <v>645.83333333333337</v>
      </c>
      <c r="EQ14" s="83">
        <f>IFERROR(O14+IFERROR(VLOOKUP(B14,'[1]Mar1 Payroll'!$B$9:$FJ$68,131,FALSE),),0)</f>
        <v>7750</v>
      </c>
      <c r="ER14" s="83">
        <f>IFERROR(Q14+W14+AO14+BK14+BL14+IFERROR(VLOOKUP(B14,'[1]Mar1 Payroll'!$B$9:$FJ$68,132,FALSE),),)</f>
        <v>0</v>
      </c>
      <c r="ES14" s="83">
        <f t="array" ref="ES14">IFERROR(IF(BX14+CB14+CD14+CE14+CF14+EN14+IFERROR(SUM(VLOOKUP(B14,'[1]Mar1 Payroll'!$B$9:$FJ$68,{133,137,140,141,144,146,147,148},FALSE)),)&gt;90000,EN14+IFERROR(SUM(VLOOKUP(B14,'[1]Mar1 Payroll'!$B$9:$FJ$68,{133,144},FALSE)),),IF(BX14+CB14+CD14+CE14+CF14+EN14+IFERROR(SUM(VLOOKUP(B14,'[1]Mar1 Payroll'!$B$9:$EK$68,{133,137,140,141,144,146,147,148},FALSE)),)&lt;90000,0,0)),0)</f>
        <v>0</v>
      </c>
      <c r="ET14" s="83">
        <f>IFERROR(BW14+IFERROR(VLOOKUP(B14,'[1]Mar1 Payroll'!$B$9:$FJ$68,134,FALSE),),0)</f>
        <v>0</v>
      </c>
      <c r="EU14" s="83">
        <f>IFERROR(BU14+IFERROR(VLOOKUP(B14,'[1]Mar1 Payroll'!$B$9:$FJ$68,135,FALSE),),0)</f>
        <v>0</v>
      </c>
      <c r="EV14" s="83">
        <f>IFERROR(BV14+IFERROR(VLOOKUP(B14,'[1]Mar1 Payroll'!$B$9:$FJ$68,136,FALSE),),0)</f>
        <v>0</v>
      </c>
      <c r="EW14" s="83">
        <f t="array" ref="EW14">IFERROR(IF(BX14+CB14+CD14+CE14+CF14+EN14+IFERROR(SUM(VLOOKUP(B14,'[1]Mar1 Payroll'!$B$9:$FJ$68,{133,137,140,141,144,146,147,148},FALSE)),)&gt;90000,BX14+IFERROR(SUM(VLOOKUP(B14,'[1]Mar1 Payroll'!$B$9:$FJ$68,{137,147},FALSE)),),IF(BX14+CB14+CD14+CE14+CF14+EN14+IFERROR(SUM(VLOOKUP(B14,'[1]Mar1 Payroll'!$B$9:$EK$68,{133,137,140,141,144,146,147,148},FALSE)),)&lt;90000,0,0)),0)</f>
        <v>0</v>
      </c>
      <c r="EX14" s="83">
        <f>IFERROR(BY14+IFERROR(VLOOKUP(B14,'[1]Mar1 Payroll'!$B$9:$FJ$68,138,FALSE),),0)</f>
        <v>0</v>
      </c>
      <c r="EY14" s="83">
        <f>IFERROR(BZ14+IFERROR(VLOOKUP(B14,'[1]Mar1 Payroll'!$B$9:$FJ$68,139,FALSE),),0)</f>
        <v>0</v>
      </c>
      <c r="EZ14" s="83">
        <f t="array" ref="EZ14">IFERROR(IF(BX14+CB14+CD14+CE14+CF14+EN14+IFERROR(SUM(VLOOKUP(B14,'[1]Mar1 Payroll'!$B$9:$FJ$68,{133,137,140,141,144,146,147,148},FALSE)),)&gt;90000,CB14+IFERROR(SUM(VLOOKUP(B14,'[1]Mar1 Payroll'!$B$9:$FJ$68,{140,146},FALSE)),),IF(BX14+CB14+CD14+CE14+CF14+EN14+IFERROR(SUM(VLOOKUP(B14,'[1]Mar1 Payroll'!$B$9:$EK$68,{133,137,140,141,144,146,147,148},FALSE)),)&lt;90000,0,0)),0)</f>
        <v>0</v>
      </c>
      <c r="FA14" s="83">
        <f t="array" ref="FA14">IFERROR(IF(BX14+CB14+CD14+CE14+CF14+EN14+IFERROR(SUM(VLOOKUP(B14,'[1]Mar1 Payroll'!$B$9:$FJ$68,{133,137,140,141,144,146,147,148},FALSE)),)&gt;90000,CD14+CE14+CF14+IFERROR(SUM(VLOOKUP(B14,'[1]Mar1 Payroll'!$B$9:$FJ$68,{141,148},FALSE)),),IF(BX14+CB14+CD14+CE14+CF14+EN14+IFERROR(SUM(VLOOKUP(B14,'[1]Mar1 Payroll'!$B$9:$EK$68,{133,137,140,141,144,146,147,148},FALSE)),)&lt;90000,0,0)),0)</f>
        <v>0</v>
      </c>
      <c r="FB14" s="83">
        <f t="shared" si="60"/>
        <v>0</v>
      </c>
      <c r="FC14" s="83">
        <f t="shared" si="61"/>
        <v>0</v>
      </c>
      <c r="FD14" s="83">
        <f t="array" ref="FD14">IFERROR(IF(BX14+CB14+CD14+CE14+CF14+EN14+IFERROR(SUM(VLOOKUP(B14,'[1]Mar1 Payroll'!$B$9:$FJ$68,{133,137,140,141,144,146,147,148},FALSE)),)&gt;90000,0,IF(BX14+CB14+CD14+CE14+CF14+EN14+IFERROR(SUM(VLOOKUP(B14,'[1]Mar1 Payroll'!$B$9:$EK$68,{133,137,140,141,144,146,147,148},FALSE)),)&lt;90000,EN14+IFERROR(SUM(VLOOKUP(B14,'[1]Mar1 Payroll'!$B$9:$FJ$68,{133,144},FALSE)),),)),)</f>
        <v>645.83333333333337</v>
      </c>
      <c r="FE14" s="83">
        <f>IFERROR(CC14+IFERROR(VLOOKUP(B14,'[1]Mar1 Payroll'!$B$9:$FJ$68,145,FALSE),),0)</f>
        <v>0</v>
      </c>
      <c r="FF14" s="83">
        <f t="array" ref="FF14">IFERROR(IF(BX14+CB14+CD14+CE14+CF14+EN14+IFERROR(SUM(VLOOKUP(B14,'[1]Mar1 Payroll'!$B$9:$FJ$68,{133,137,140,141,144,146,147,148},FALSE)),)&gt;90000,0,IF(BX14+CB14+CD14+CE14+CF14+EN14+IFERROR(SUM(VLOOKUP(B14,'[1]Mar1 Payroll'!$B$9:$EK$68,{133,137,140,141,144,146,147,148},FALSE)),)&lt;90000,CB14+IFERROR(SUM(VLOOKUP(B14,'[1]Mar1 Payroll'!$B$9:$FJ$68,{140,146},FALSE)),))),0)</f>
        <v>0</v>
      </c>
      <c r="FG14" s="83">
        <f t="array" ref="FG14">IFERROR(IF(BX14+CB14+CD14+CE14+CF14+EN14+IFERROR(SUM(VLOOKUP(B14,'[1]Mar1 Payroll'!$B$9:$FJ$68,{133,137,140,141,144,146,147,148},FALSE)),)&gt;90000,0,IF(BX14+CB14+CD14+CE14+CF14+EN14+IFERROR(SUM(VLOOKUP(B14,'[1]Mar1 Payroll'!$B$9:$EK$68,{133,137,140,141,144,146,147,148},FALSE)),)&lt;90000,BX14+IFERROR(SUM(VLOOKUP(B14,'[1]Mar1 Payroll'!$B$9:$FJ$68,{137,147},FALSE)),))),0)</f>
        <v>0</v>
      </c>
      <c r="FH14" s="83">
        <f t="array" ref="FH14">IFERROR(IF(BX14+CB14+CD14+CE14+CF14+EN14+IFERROR(SUM(VLOOKUP(B14,'[1]Mar1 Payroll'!$B$9:$FJ$68,{133,137,140,141,144,146,147,148},FALSE)),)&gt;90000,0,IF(BX14+CB14+CD14+CE14+CF14+EN14+IFERROR(SUM(VLOOKUP(B14,'[1]Mar1 Payroll'!$B$9:$EK$68,{133,137,140,141,144,146,147,148},FALSE)),)&lt;90000,CD14+CE14+CF14+IFERROR(SUM(VLOOKUP(B14,'[1]Mar1 Payroll'!$B$9:$FJ$68,{141,148},FALSE)),))),0)</f>
        <v>0</v>
      </c>
      <c r="FI14" s="83">
        <f t="shared" si="62"/>
        <v>0</v>
      </c>
      <c r="FJ14" s="83">
        <f t="shared" si="63"/>
        <v>7750</v>
      </c>
      <c r="FK14" s="83">
        <f>IFERROR(EJ14+EK14+EL14+IFERROR(VLOOKUP(B14,'[1]Mar1 Payroll'!$B$9:$FJ$68,151,FALSE),),0)</f>
        <v>0</v>
      </c>
      <c r="FL14" s="83">
        <f>IFERROR(CY14+IFERROR(VLOOKUP(B14,'[1]Mar1 Payroll'!$B$9:$FJ$68,152,FALSE),),0)</f>
        <v>10</v>
      </c>
      <c r="FM14" s="83">
        <f>IFERROR(DA14+DB14+IFERROR(VLOOKUP(B14,'[1]Mar1 Payroll'!$B$9:$FJ$68,153,FALSE),),0)</f>
        <v>620</v>
      </c>
      <c r="FN14" s="83">
        <f>IFERROR(DD14+DE14+IFERROR(VLOOKUP(B14,'[1]Mar1 Payroll'!$B$9:$FJ$68,154,FALSE),),0)</f>
        <v>200</v>
      </c>
      <c r="FO14" s="83">
        <f>IFERROR(CO14+IFERROR(VLOOKUP(B14,'[1]Mar1 Payroll'!$B$9:$FJ$68,155,FALSE),),0)</f>
        <v>0</v>
      </c>
      <c r="FP14" s="83">
        <f>IFERROR(DZ14+EA14+EF14+IFERROR(VLOOKUP(B14,'[1]Mar1 Payroll'!$B$9:$FJ$68,156,FALSE),),0)</f>
        <v>0</v>
      </c>
      <c r="FQ14" s="83">
        <f>IFERROR(DH14+IFERROR(VLOOKUP(B14,'[1]Mar1 Payroll'!$B$9:$FJ$68,157,FALSE),),0)</f>
        <v>0</v>
      </c>
      <c r="FR14" s="83">
        <f>IFERROR(DI14+IFERROR(VLOOKUP(B14,'[1]Mar1 Payroll'!$B$9:$FJ$68,158,FALSE),),0)</f>
        <v>0</v>
      </c>
      <c r="FS14" s="83">
        <f>IFERROR(DK14+IFERROR(VLOOKUP(B14,'[1]Mar1 Payroll'!$B$9:$FJ$68,159,FALSE),),0)</f>
        <v>0</v>
      </c>
      <c r="FT14" s="83">
        <f>IFERROR(DM14+IFERROR(VLOOKUP(B14,'[1]Mar1 Payroll'!$B$9:$FJ$68,160,FALSE),),0)</f>
        <v>0</v>
      </c>
      <c r="FU14" s="83">
        <f>IFERROR(DN14+IFERROR(VLOOKUP(B14,'[1]Mar1 Payroll'!$B$9:$FJ$68,161,FALSE),),0)</f>
        <v>0</v>
      </c>
      <c r="FV14" s="83">
        <f>IFERROR(DO14+IFERROR(VLOOKUP(B14,'[1]Mar1 Payroll'!$B$9:$FJ$68,162,FALSE),),0)</f>
        <v>0</v>
      </c>
      <c r="FW14" s="83">
        <f>IFERROR(DP14+IFERROR(VLOOKUP(B14,'[1]Mar1 Payroll'!$B$9:$FJ$68,163,FALSE),),0)</f>
        <v>0</v>
      </c>
      <c r="FX14" s="83">
        <f t="shared" si="64"/>
        <v>830</v>
      </c>
      <c r="FY14" s="84">
        <f t="shared" si="65"/>
        <v>8580</v>
      </c>
      <c r="FZ14" s="85"/>
      <c r="GA14" s="105"/>
      <c r="GB14" s="86">
        <f t="shared" si="66"/>
        <v>7750</v>
      </c>
      <c r="GC14" s="83">
        <f t="shared" si="67"/>
        <v>0</v>
      </c>
      <c r="GD14" s="83">
        <f t="shared" si="68"/>
        <v>0</v>
      </c>
      <c r="GE14" s="83">
        <f t="shared" si="69"/>
        <v>0</v>
      </c>
      <c r="GF14" s="83">
        <f t="shared" si="70"/>
        <v>0</v>
      </c>
      <c r="GG14" s="83">
        <f t="shared" si="71"/>
        <v>0</v>
      </c>
      <c r="GH14" s="83">
        <f t="shared" si="72"/>
        <v>0</v>
      </c>
      <c r="GI14" s="83">
        <f t="shared" si="73"/>
        <v>0</v>
      </c>
      <c r="GJ14" s="83">
        <f t="shared" si="74"/>
        <v>0</v>
      </c>
      <c r="GK14" s="83">
        <f t="shared" si="75"/>
        <v>0</v>
      </c>
      <c r="GL14" s="83">
        <f t="shared" si="76"/>
        <v>0</v>
      </c>
      <c r="GM14" s="83">
        <f t="shared" si="77"/>
        <v>0</v>
      </c>
      <c r="GN14" s="83">
        <f t="shared" si="78"/>
        <v>0</v>
      </c>
      <c r="GO14" s="83">
        <f t="shared" si="79"/>
        <v>645.83333333333337</v>
      </c>
      <c r="GP14" s="83">
        <f t="shared" si="80"/>
        <v>0</v>
      </c>
      <c r="GQ14" s="83">
        <f t="shared" si="81"/>
        <v>0</v>
      </c>
      <c r="GR14" s="83">
        <f t="shared" si="82"/>
        <v>0</v>
      </c>
      <c r="GS14" s="83">
        <f t="shared" si="83"/>
        <v>0</v>
      </c>
      <c r="GT14" s="83">
        <f t="shared" si="84"/>
        <v>0</v>
      </c>
      <c r="GU14" s="83">
        <f t="shared" si="85"/>
        <v>7750</v>
      </c>
      <c r="GV14" s="83">
        <f t="shared" si="86"/>
        <v>0</v>
      </c>
      <c r="GW14" s="83">
        <f t="shared" si="87"/>
        <v>10</v>
      </c>
      <c r="GX14" s="83">
        <f t="shared" si="88"/>
        <v>620</v>
      </c>
      <c r="GY14" s="83">
        <f t="shared" si="89"/>
        <v>200</v>
      </c>
      <c r="GZ14" s="83">
        <f t="shared" si="90"/>
        <v>0</v>
      </c>
      <c r="HA14" s="83">
        <f t="shared" si="91"/>
        <v>0</v>
      </c>
      <c r="HB14" s="83">
        <f t="shared" si="92"/>
        <v>0</v>
      </c>
      <c r="HC14" s="83">
        <f t="shared" si="93"/>
        <v>0</v>
      </c>
      <c r="HD14" s="83">
        <f t="shared" si="94"/>
        <v>0</v>
      </c>
      <c r="HE14" s="83">
        <f t="shared" si="95"/>
        <v>0</v>
      </c>
      <c r="HF14" s="83">
        <f t="shared" si="96"/>
        <v>0</v>
      </c>
      <c r="HG14" s="83">
        <f t="shared" si="97"/>
        <v>0</v>
      </c>
      <c r="HH14" s="83">
        <f t="shared" si="98"/>
        <v>0</v>
      </c>
      <c r="HI14" s="83">
        <f t="shared" si="99"/>
        <v>830</v>
      </c>
      <c r="HJ14" s="87">
        <f t="shared" si="100"/>
        <v>8580</v>
      </c>
      <c r="HK14" s="105" t="s">
        <v>172</v>
      </c>
      <c r="HL14" s="88">
        <f t="shared" si="101"/>
        <v>6642.5</v>
      </c>
      <c r="HM14" s="88">
        <f t="shared" si="102"/>
        <v>0</v>
      </c>
      <c r="HN14" s="88"/>
      <c r="HO14" s="89">
        <v>7</v>
      </c>
      <c r="HP14" s="91">
        <f t="shared" si="103"/>
        <v>7750</v>
      </c>
      <c r="HQ14" s="91">
        <f t="shared" si="104"/>
        <v>7750</v>
      </c>
      <c r="HR14" s="91">
        <f t="shared" si="105"/>
        <v>-1107.5</v>
      </c>
      <c r="HS14" s="91"/>
      <c r="HT14" s="91"/>
      <c r="HU14" s="91"/>
      <c r="HV14" s="91"/>
      <c r="HW14" s="91"/>
      <c r="HX14" s="91"/>
    </row>
    <row r="15" spans="1:232" s="97" customFormat="1" ht="15.75" customHeight="1" thickBot="1" x14ac:dyDescent="0.3">
      <c r="A15" s="217" t="s">
        <v>221</v>
      </c>
      <c r="B15" s="241" t="s">
        <v>205</v>
      </c>
      <c r="C15" s="169" t="s">
        <v>187</v>
      </c>
      <c r="D15" s="183"/>
      <c r="E15" s="169" t="s">
        <v>197</v>
      </c>
      <c r="F15" s="170" t="s">
        <v>194</v>
      </c>
      <c r="G15" s="171" t="s">
        <v>170</v>
      </c>
      <c r="H15" s="223">
        <v>14000</v>
      </c>
      <c r="I15" s="172">
        <f t="shared" si="0"/>
        <v>0</v>
      </c>
      <c r="J15" s="175">
        <v>13</v>
      </c>
      <c r="K15" s="251">
        <v>12</v>
      </c>
      <c r="L15" s="180">
        <f t="shared" si="1"/>
        <v>538.46153846153845</v>
      </c>
      <c r="M15" s="180">
        <f t="shared" si="2"/>
        <v>67.307692307692307</v>
      </c>
      <c r="N15" s="180">
        <f t="shared" si="3"/>
        <v>1.1217948717948718</v>
      </c>
      <c r="O15" s="174">
        <f t="shared" si="4"/>
        <v>7000</v>
      </c>
      <c r="P15" s="175"/>
      <c r="Q15" s="174">
        <f t="shared" si="5"/>
        <v>0</v>
      </c>
      <c r="R15" s="175"/>
      <c r="S15" s="174">
        <f t="shared" si="107"/>
        <v>0</v>
      </c>
      <c r="T15" s="171"/>
      <c r="U15" s="174">
        <f t="shared" si="6"/>
        <v>0</v>
      </c>
      <c r="V15" s="173">
        <f t="shared" si="7"/>
        <v>0</v>
      </c>
      <c r="W15" s="173">
        <f t="shared" si="8"/>
        <v>0</v>
      </c>
      <c r="X15" s="171"/>
      <c r="Y15" s="174">
        <f t="shared" si="9"/>
        <v>0</v>
      </c>
      <c r="Z15" s="171"/>
      <c r="AA15" s="174">
        <f t="shared" si="10"/>
        <v>0</v>
      </c>
      <c r="AB15" s="171"/>
      <c r="AC15" s="174">
        <f t="shared" si="11"/>
        <v>0</v>
      </c>
      <c r="AD15" s="171"/>
      <c r="AE15" s="174">
        <f t="shared" si="12"/>
        <v>0</v>
      </c>
      <c r="AF15" s="175"/>
      <c r="AG15" s="174">
        <f t="shared" si="13"/>
        <v>0</v>
      </c>
      <c r="AH15" s="171"/>
      <c r="AI15" s="174">
        <f t="shared" si="14"/>
        <v>0</v>
      </c>
      <c r="AJ15" s="171"/>
      <c r="AK15" s="174">
        <f t="shared" si="15"/>
        <v>0</v>
      </c>
      <c r="AL15" s="171"/>
      <c r="AM15" s="174">
        <f t="shared" si="16"/>
        <v>0</v>
      </c>
      <c r="AN15" s="173">
        <f t="shared" si="17"/>
        <v>0</v>
      </c>
      <c r="AO15" s="173">
        <f t="shared" si="18"/>
        <v>0</v>
      </c>
      <c r="AP15" s="171"/>
      <c r="AQ15" s="174">
        <f t="shared" si="19"/>
        <v>0</v>
      </c>
      <c r="AR15" s="171"/>
      <c r="AS15" s="174">
        <f t="shared" si="20"/>
        <v>0</v>
      </c>
      <c r="AT15" s="171"/>
      <c r="AU15" s="174">
        <f t="shared" si="21"/>
        <v>0</v>
      </c>
      <c r="AV15" s="171"/>
      <c r="AW15" s="228">
        <f t="shared" si="22"/>
        <v>0</v>
      </c>
      <c r="AX15" s="171"/>
      <c r="AY15" s="174">
        <f t="shared" si="23"/>
        <v>0</v>
      </c>
      <c r="AZ15" s="171"/>
      <c r="BA15" s="174">
        <f t="shared" si="24"/>
        <v>0</v>
      </c>
      <c r="BB15" s="171"/>
      <c r="BC15" s="174">
        <f t="shared" si="25"/>
        <v>0</v>
      </c>
      <c r="BD15" s="171"/>
      <c r="BE15" s="174">
        <f t="shared" si="26"/>
        <v>0</v>
      </c>
      <c r="BF15" s="171"/>
      <c r="BG15" s="174">
        <f t="shared" si="27"/>
        <v>0</v>
      </c>
      <c r="BH15" s="171"/>
      <c r="BI15" s="174">
        <f t="shared" si="28"/>
        <v>0</v>
      </c>
      <c r="BJ15" s="176">
        <f t="shared" si="29"/>
        <v>0</v>
      </c>
      <c r="BK15" s="173">
        <f t="shared" si="30"/>
        <v>0</v>
      </c>
      <c r="BL15" s="171"/>
      <c r="BM15" s="174"/>
      <c r="BN15" s="174"/>
      <c r="BO15" s="171"/>
      <c r="BP15" s="171"/>
      <c r="BQ15" s="171"/>
      <c r="BR15" s="171"/>
      <c r="BS15" s="174">
        <f t="shared" si="31"/>
        <v>0</v>
      </c>
      <c r="BT15" s="174">
        <f t="shared" si="32"/>
        <v>0</v>
      </c>
      <c r="BU15" s="173">
        <f t="shared" si="33"/>
        <v>0</v>
      </c>
      <c r="BV15" s="173">
        <f t="shared" si="34"/>
        <v>0</v>
      </c>
      <c r="BW15" s="171"/>
      <c r="BX15" s="171"/>
      <c r="BY15" s="171"/>
      <c r="BZ15" s="171"/>
      <c r="CA15" s="171"/>
      <c r="CB15" s="171"/>
      <c r="CC15" s="171"/>
      <c r="CD15" s="171"/>
      <c r="CE15" s="171"/>
      <c r="CF15" s="171"/>
      <c r="CG15" s="171"/>
      <c r="CH15" s="174">
        <f t="shared" si="35"/>
        <v>0</v>
      </c>
      <c r="CI15" s="175">
        <v>20</v>
      </c>
      <c r="CJ15" s="174">
        <f t="shared" si="36"/>
        <v>-22.435897435897438</v>
      </c>
      <c r="CK15" s="175"/>
      <c r="CL15" s="174">
        <f t="shared" si="37"/>
        <v>0</v>
      </c>
      <c r="CM15" s="171">
        <f t="shared" si="38"/>
        <v>1</v>
      </c>
      <c r="CN15" s="177">
        <f t="shared" si="39"/>
        <v>-538.46153846153845</v>
      </c>
      <c r="CO15" s="173">
        <f t="shared" si="40"/>
        <v>-560.89743589743591</v>
      </c>
      <c r="CP15" s="176">
        <f t="shared" si="41"/>
        <v>6439.1025641025644</v>
      </c>
      <c r="CQ15" s="187" t="str">
        <f>_xlfn.IFNA(VLOOKUP(B15,'[1]201'!$E$7:$H$66,2,FALSE),"")</f>
        <v/>
      </c>
      <c r="CR15" s="187" t="str">
        <f>_xlfn.IFNA(VLOOKUP(B15,'[1]201'!$E$7:$H$66,3,FALSE),"")</f>
        <v/>
      </c>
      <c r="CS15" s="187" t="str">
        <f>_xlfn.IFNA(VLOOKUP(B15,'[1]201'!$E$7:$H$66,4,FALSE),"")</f>
        <v/>
      </c>
      <c r="CT15" s="179"/>
      <c r="CU15" s="179"/>
      <c r="CV15" s="179"/>
      <c r="CW15" s="180">
        <v>630</v>
      </c>
      <c r="CX15" s="181">
        <v>1330</v>
      </c>
      <c r="CY15" s="182">
        <v>10</v>
      </c>
      <c r="CZ15" s="176">
        <f t="shared" si="42"/>
        <v>1970</v>
      </c>
      <c r="DA15" s="181">
        <f t="shared" si="43"/>
        <v>280</v>
      </c>
      <c r="DB15" s="182">
        <f t="shared" si="44"/>
        <v>280</v>
      </c>
      <c r="DC15" s="176">
        <f t="shared" si="45"/>
        <v>560</v>
      </c>
      <c r="DD15" s="181">
        <v>100</v>
      </c>
      <c r="DE15" s="182">
        <v>100</v>
      </c>
      <c r="DF15" s="176">
        <f t="shared" si="46"/>
        <v>200</v>
      </c>
      <c r="DG15" s="176">
        <f t="shared" si="106"/>
        <v>1010</v>
      </c>
      <c r="DH15" s="183"/>
      <c r="DI15" s="183"/>
      <c r="DJ15" s="183"/>
      <c r="DK15" s="183"/>
      <c r="DL15" s="176">
        <f t="shared" si="47"/>
        <v>0</v>
      </c>
      <c r="DM15" s="183"/>
      <c r="DN15" s="183"/>
      <c r="DO15" s="183"/>
      <c r="DP15" s="183"/>
      <c r="DQ15" s="172">
        <f t="shared" si="48"/>
        <v>0</v>
      </c>
      <c r="DR15" s="179"/>
      <c r="DS15" s="179"/>
      <c r="DT15" s="175"/>
      <c r="DU15" s="179"/>
      <c r="DV15" s="179"/>
      <c r="DW15" s="220"/>
      <c r="DX15" s="218"/>
      <c r="DY15" s="173">
        <f t="shared" si="49"/>
        <v>0</v>
      </c>
      <c r="DZ15" s="179"/>
      <c r="EA15" s="215">
        <v>0</v>
      </c>
      <c r="EB15" s="215"/>
      <c r="EC15" s="215"/>
      <c r="ED15" s="179"/>
      <c r="EE15" s="184"/>
      <c r="EF15" s="185">
        <f t="shared" si="50"/>
        <v>0</v>
      </c>
      <c r="EG15" s="176">
        <f t="shared" si="51"/>
        <v>1010</v>
      </c>
      <c r="EH15" s="176">
        <f t="shared" si="52"/>
        <v>5429.1025641025644</v>
      </c>
      <c r="EI15" s="176">
        <f t="shared" si="53"/>
        <v>8010</v>
      </c>
      <c r="EJ15" s="176">
        <f t="shared" si="54"/>
        <v>0</v>
      </c>
      <c r="EK15" s="176">
        <f t="shared" si="55"/>
        <v>0</v>
      </c>
      <c r="EL15" s="176">
        <f t="shared" si="56"/>
        <v>0</v>
      </c>
      <c r="EM15" s="176">
        <f t="shared" si="57"/>
        <v>5429.1025641025644</v>
      </c>
      <c r="EN15" s="172">
        <f t="shared" si="58"/>
        <v>536.59188034188037</v>
      </c>
      <c r="EO15" s="234" t="s">
        <v>221</v>
      </c>
      <c r="EP15" s="214">
        <f t="shared" si="59"/>
        <v>536.59188034188037</v>
      </c>
      <c r="EQ15" s="83">
        <f>IFERROR(O15+IFERROR(VLOOKUP(B15,'[1]Mar1 Payroll'!$B$9:$FJ$68,131,FALSE),),0)</f>
        <v>7000</v>
      </c>
      <c r="ER15" s="83">
        <f>IFERROR(Q15+W15+AO15+BK15+BL15+IFERROR(VLOOKUP(B15,'[1]Mar1 Payroll'!$B$9:$FJ$68,132,FALSE),),)</f>
        <v>0</v>
      </c>
      <c r="ES15" s="83">
        <f t="array" ref="ES15">IFERROR(IF(BX15+CB15+CD15+CE15+CF15+EN15+IFERROR(SUM(VLOOKUP(B15,'[1]Mar1 Payroll'!$B$9:$FJ$68,{133,137,140,141,144,146,147,148},FALSE)),)&gt;90000,EN15+IFERROR(SUM(VLOOKUP(B15,'[1]Mar1 Payroll'!$B$9:$FJ$68,{133,144},FALSE)),),IF(BX15+CB15+CD15+CE15+CF15+EN15+IFERROR(SUM(VLOOKUP(B15,'[1]Mar1 Payroll'!$B$9:$EK$68,{133,137,140,141,144,146,147,148},FALSE)),)&lt;90000,0,0)),0)</f>
        <v>0</v>
      </c>
      <c r="ET15" s="83">
        <f>IFERROR(BW15+IFERROR(VLOOKUP(B15,'[1]Mar1 Payroll'!$B$9:$FJ$68,134,FALSE),),0)</f>
        <v>0</v>
      </c>
      <c r="EU15" s="83">
        <f>IFERROR(BU15+IFERROR(VLOOKUP(B15,'[1]Mar1 Payroll'!$B$9:$FJ$68,135,FALSE),),0)</f>
        <v>0</v>
      </c>
      <c r="EV15" s="83">
        <f>IFERROR(BV15+IFERROR(VLOOKUP(B15,'[1]Mar1 Payroll'!$B$9:$FJ$68,136,FALSE),),0)</f>
        <v>0</v>
      </c>
      <c r="EW15" s="83">
        <f t="array" ref="EW15">IFERROR(IF(BX15+CB15+CD15+CE15+CF15+EN15+IFERROR(SUM(VLOOKUP(B15,'[1]Mar1 Payroll'!$B$9:$FJ$68,{133,137,140,141,144,146,147,148},FALSE)),)&gt;90000,BX15+IFERROR(SUM(VLOOKUP(B15,'[1]Mar1 Payroll'!$B$9:$FJ$68,{137,147},FALSE)),),IF(BX15+CB15+CD15+CE15+CF15+EN15+IFERROR(SUM(VLOOKUP(B15,'[1]Mar1 Payroll'!$B$9:$EK$68,{133,137,140,141,144,146,147,148},FALSE)),)&lt;90000,0,0)),0)</f>
        <v>0</v>
      </c>
      <c r="EX15" s="83">
        <f>IFERROR(BY15+IFERROR(VLOOKUP(B15,'[1]Mar1 Payroll'!$B$9:$FJ$68,138,FALSE),),0)</f>
        <v>0</v>
      </c>
      <c r="EY15" s="83">
        <f>IFERROR(BZ15+IFERROR(VLOOKUP(B15,'[1]Mar1 Payroll'!$B$9:$FJ$68,139,FALSE),),0)</f>
        <v>0</v>
      </c>
      <c r="EZ15" s="83">
        <f t="array" ref="EZ15">IFERROR(IF(BX15+CB15+CD15+CE15+CF15+EN15+IFERROR(SUM(VLOOKUP(B15,'[1]Mar1 Payroll'!$B$9:$FJ$68,{133,137,140,141,144,146,147,148},FALSE)),)&gt;90000,CB15+IFERROR(SUM(VLOOKUP(B15,'[1]Mar1 Payroll'!$B$9:$FJ$68,{140,146},FALSE)),),IF(BX15+CB15+CD15+CE15+CF15+EN15+IFERROR(SUM(VLOOKUP(B15,'[1]Mar1 Payroll'!$B$9:$EK$68,{133,137,140,141,144,146,147,148},FALSE)),)&lt;90000,0,0)),0)</f>
        <v>0</v>
      </c>
      <c r="FA15" s="83">
        <f t="array" ref="FA15">IFERROR(IF(BX15+CB15+CD15+CE15+CF15+EN15+IFERROR(SUM(VLOOKUP(B15,'[1]Mar1 Payroll'!$B$9:$FJ$68,{133,137,140,141,144,146,147,148},FALSE)),)&gt;90000,CD15+CE15+CF15+IFERROR(SUM(VLOOKUP(B15,'[1]Mar1 Payroll'!$B$9:$FJ$68,{141,148},FALSE)),),IF(BX15+CB15+CD15+CE15+CF15+EN15+IFERROR(SUM(VLOOKUP(B15,'[1]Mar1 Payroll'!$B$9:$EK$68,{133,137,140,141,144,146,147,148},FALSE)),)&lt;90000,0,0)),0)</f>
        <v>0</v>
      </c>
      <c r="FB15" s="83">
        <f t="shared" si="60"/>
        <v>0</v>
      </c>
      <c r="FC15" s="83">
        <f t="shared" si="61"/>
        <v>0</v>
      </c>
      <c r="FD15" s="83">
        <f t="array" ref="FD15">IFERROR(IF(BX15+CB15+CD15+CE15+CF15+EN15+IFERROR(SUM(VLOOKUP(B15,'[1]Mar1 Payroll'!$B$9:$FJ$68,{133,137,140,141,144,146,147,148},FALSE)),)&gt;90000,0,IF(BX15+CB15+CD15+CE15+CF15+EN15+IFERROR(SUM(VLOOKUP(B15,'[1]Mar1 Payroll'!$B$9:$EK$68,{133,137,140,141,144,146,147,148},FALSE)),)&lt;90000,EN15+IFERROR(SUM(VLOOKUP(B15,'[1]Mar1 Payroll'!$B$9:$FJ$68,{133,144},FALSE)),),)),)</f>
        <v>536.59188034188037</v>
      </c>
      <c r="FE15" s="83">
        <f>IFERROR(CC15+IFERROR(VLOOKUP(B15,'[1]Mar1 Payroll'!$B$9:$FJ$68,145,FALSE),),0)</f>
        <v>0</v>
      </c>
      <c r="FF15" s="83">
        <f t="array" ref="FF15">IFERROR(IF(BX15+CB15+CD15+CE15+CF15+EN15+IFERROR(SUM(VLOOKUP(B15,'[1]Mar1 Payroll'!$B$9:$FJ$68,{133,137,140,141,144,146,147,148},FALSE)),)&gt;90000,0,IF(BX15+CB15+CD15+CE15+CF15+EN15+IFERROR(SUM(VLOOKUP(B15,'[1]Mar1 Payroll'!$B$9:$EK$68,{133,137,140,141,144,146,147,148},FALSE)),)&lt;90000,CB15+IFERROR(SUM(VLOOKUP(B15,'[1]Mar1 Payroll'!$B$9:$FJ$68,{140,146},FALSE)),))),0)</f>
        <v>0</v>
      </c>
      <c r="FG15" s="83">
        <f t="array" ref="FG15">IFERROR(IF(BX15+CB15+CD15+CE15+CF15+EN15+IFERROR(SUM(VLOOKUP(B15,'[1]Mar1 Payroll'!$B$9:$FJ$68,{133,137,140,141,144,146,147,148},FALSE)),)&gt;90000,0,IF(BX15+CB15+CD15+CE15+CF15+EN15+IFERROR(SUM(VLOOKUP(B15,'[1]Mar1 Payroll'!$B$9:$EK$68,{133,137,140,141,144,146,147,148},FALSE)),)&lt;90000,BX15+IFERROR(SUM(VLOOKUP(B15,'[1]Mar1 Payroll'!$B$9:$FJ$68,{137,147},FALSE)),))),0)</f>
        <v>0</v>
      </c>
      <c r="FH15" s="83">
        <f t="array" ref="FH15">IFERROR(IF(BX15+CB15+CD15+CE15+CF15+EN15+IFERROR(SUM(VLOOKUP(B15,'[1]Mar1 Payroll'!$B$9:$FJ$68,{133,137,140,141,144,146,147,148},FALSE)),)&gt;90000,0,IF(BX15+CB15+CD15+CE15+CF15+EN15+IFERROR(SUM(VLOOKUP(B15,'[1]Mar1 Payroll'!$B$9:$EK$68,{133,137,140,141,144,146,147,148},FALSE)),)&lt;90000,CD15+CE15+CF15+IFERROR(SUM(VLOOKUP(B15,'[1]Mar1 Payroll'!$B$9:$FJ$68,{141,148},FALSE)),))),0)</f>
        <v>0</v>
      </c>
      <c r="FI15" s="83">
        <f t="shared" si="62"/>
        <v>0</v>
      </c>
      <c r="FJ15" s="83">
        <f t="shared" si="63"/>
        <v>7000</v>
      </c>
      <c r="FK15" s="83">
        <f>IFERROR(EJ15+EK15+EL15+IFERROR(VLOOKUP(B15,'[1]Mar1 Payroll'!$B$9:$FJ$68,151,FALSE),),0)</f>
        <v>0</v>
      </c>
      <c r="FL15" s="83">
        <f>IFERROR(CY15+IFERROR(VLOOKUP(B15,'[1]Mar1 Payroll'!$B$9:$FJ$68,152,FALSE),),0)</f>
        <v>10</v>
      </c>
      <c r="FM15" s="83">
        <f>IFERROR(DA15+DB15+IFERROR(VLOOKUP(B15,'[1]Mar1 Payroll'!$B$9:$FJ$68,153,FALSE),),0)</f>
        <v>560</v>
      </c>
      <c r="FN15" s="83">
        <f>IFERROR(DD15+DE15+IFERROR(VLOOKUP(B15,'[1]Mar1 Payroll'!$B$9:$FJ$68,154,FALSE),),0)</f>
        <v>200</v>
      </c>
      <c r="FO15" s="83">
        <f>IFERROR(CO15+IFERROR(VLOOKUP(B15,'[1]Mar1 Payroll'!$B$9:$FJ$68,155,FALSE),),0)</f>
        <v>-560.89743589743591</v>
      </c>
      <c r="FP15" s="83">
        <f>IFERROR(DZ15+EA15+EF15+IFERROR(VLOOKUP(B15,'[1]Mar1 Payroll'!$B$9:$FJ$68,156,FALSE),),0)</f>
        <v>0</v>
      </c>
      <c r="FQ15" s="83">
        <f>IFERROR(DH15+IFERROR(VLOOKUP(B15,'[1]Mar1 Payroll'!$B$9:$FJ$68,157,FALSE),),0)</f>
        <v>0</v>
      </c>
      <c r="FR15" s="83">
        <f>IFERROR(DI15+IFERROR(VLOOKUP(B15,'[1]Mar1 Payroll'!$B$9:$FJ$68,158,FALSE),),0)</f>
        <v>0</v>
      </c>
      <c r="FS15" s="83">
        <f>IFERROR(DK15+IFERROR(VLOOKUP(B15,'[1]Mar1 Payroll'!$B$9:$FJ$68,159,FALSE),),0)</f>
        <v>0</v>
      </c>
      <c r="FT15" s="83">
        <f>IFERROR(DM15+IFERROR(VLOOKUP(B15,'[1]Mar1 Payroll'!$B$9:$FJ$68,160,FALSE),),0)</f>
        <v>0</v>
      </c>
      <c r="FU15" s="83">
        <f>IFERROR(DN15+IFERROR(VLOOKUP(B15,'[1]Mar1 Payroll'!$B$9:$FJ$68,161,FALSE),),0)</f>
        <v>0</v>
      </c>
      <c r="FV15" s="83">
        <f>IFERROR(DO15+IFERROR(VLOOKUP(B15,'[1]Mar1 Payroll'!$B$9:$FJ$68,162,FALSE),),0)</f>
        <v>0</v>
      </c>
      <c r="FW15" s="83">
        <f>IFERROR(DP15+IFERROR(VLOOKUP(B15,'[1]Mar1 Payroll'!$B$9:$FJ$68,163,FALSE),),0)</f>
        <v>0</v>
      </c>
      <c r="FX15" s="83">
        <f t="shared" si="64"/>
        <v>209.10256410256409</v>
      </c>
      <c r="FY15" s="84">
        <f t="shared" si="65"/>
        <v>7209.1025641025644</v>
      </c>
      <c r="FZ15" s="85"/>
      <c r="GA15" s="105"/>
      <c r="GB15" s="86">
        <f t="shared" si="66"/>
        <v>7000</v>
      </c>
      <c r="GC15" s="83">
        <f t="shared" si="67"/>
        <v>0</v>
      </c>
      <c r="GD15" s="83">
        <f t="shared" si="68"/>
        <v>0</v>
      </c>
      <c r="GE15" s="83">
        <f t="shared" si="69"/>
        <v>0</v>
      </c>
      <c r="GF15" s="83">
        <f t="shared" si="70"/>
        <v>0</v>
      </c>
      <c r="GG15" s="83">
        <f t="shared" si="71"/>
        <v>0</v>
      </c>
      <c r="GH15" s="83">
        <f t="shared" si="72"/>
        <v>0</v>
      </c>
      <c r="GI15" s="83">
        <f t="shared" si="73"/>
        <v>0</v>
      </c>
      <c r="GJ15" s="83">
        <f t="shared" si="74"/>
        <v>0</v>
      </c>
      <c r="GK15" s="83">
        <f t="shared" si="75"/>
        <v>0</v>
      </c>
      <c r="GL15" s="83">
        <f t="shared" si="76"/>
        <v>0</v>
      </c>
      <c r="GM15" s="83">
        <f t="shared" si="77"/>
        <v>0</v>
      </c>
      <c r="GN15" s="83">
        <f t="shared" si="78"/>
        <v>0</v>
      </c>
      <c r="GO15" s="83">
        <f t="shared" si="79"/>
        <v>536.59188034188037</v>
      </c>
      <c r="GP15" s="83">
        <f t="shared" si="80"/>
        <v>0</v>
      </c>
      <c r="GQ15" s="83">
        <f t="shared" si="81"/>
        <v>0</v>
      </c>
      <c r="GR15" s="83">
        <f t="shared" si="82"/>
        <v>0</v>
      </c>
      <c r="GS15" s="83">
        <f t="shared" si="83"/>
        <v>0</v>
      </c>
      <c r="GT15" s="83">
        <f t="shared" si="84"/>
        <v>0</v>
      </c>
      <c r="GU15" s="83">
        <f t="shared" si="85"/>
        <v>7000</v>
      </c>
      <c r="GV15" s="83">
        <f t="shared" si="86"/>
        <v>0</v>
      </c>
      <c r="GW15" s="83">
        <f t="shared" si="87"/>
        <v>10</v>
      </c>
      <c r="GX15" s="83">
        <f t="shared" si="88"/>
        <v>560</v>
      </c>
      <c r="GY15" s="83">
        <f t="shared" si="89"/>
        <v>200</v>
      </c>
      <c r="GZ15" s="83">
        <f t="shared" si="90"/>
        <v>-560.89743589743591</v>
      </c>
      <c r="HA15" s="83">
        <f t="shared" si="91"/>
        <v>0</v>
      </c>
      <c r="HB15" s="83">
        <f t="shared" si="92"/>
        <v>0</v>
      </c>
      <c r="HC15" s="83">
        <f t="shared" si="93"/>
        <v>0</v>
      </c>
      <c r="HD15" s="83">
        <f t="shared" si="94"/>
        <v>0</v>
      </c>
      <c r="HE15" s="83">
        <f t="shared" si="95"/>
        <v>0</v>
      </c>
      <c r="HF15" s="83">
        <f t="shared" si="96"/>
        <v>0</v>
      </c>
      <c r="HG15" s="83">
        <f t="shared" si="97"/>
        <v>0</v>
      </c>
      <c r="HH15" s="83">
        <f t="shared" si="98"/>
        <v>0</v>
      </c>
      <c r="HI15" s="83">
        <f t="shared" si="99"/>
        <v>209.10256410256409</v>
      </c>
      <c r="HJ15" s="87">
        <f t="shared" si="100"/>
        <v>7209.1025641025644</v>
      </c>
      <c r="HK15" s="105" t="s">
        <v>172</v>
      </c>
      <c r="HL15" s="88">
        <f t="shared" si="101"/>
        <v>5429.1025641025644</v>
      </c>
      <c r="HM15" s="88">
        <f t="shared" si="102"/>
        <v>0</v>
      </c>
      <c r="HN15" s="88"/>
      <c r="HO15" s="89">
        <v>7</v>
      </c>
      <c r="HP15" s="91">
        <f t="shared" si="103"/>
        <v>6439.1025641025644</v>
      </c>
      <c r="HQ15" s="91">
        <f t="shared" si="104"/>
        <v>6439.1025641025635</v>
      </c>
      <c r="HR15" s="91">
        <f t="shared" si="105"/>
        <v>-1009.9999999999991</v>
      </c>
      <c r="HS15" s="91"/>
      <c r="HT15" s="91"/>
      <c r="HU15" s="91"/>
      <c r="HV15" s="91"/>
      <c r="HW15" s="91"/>
      <c r="HX15" s="91"/>
    </row>
    <row r="16" spans="1:232" s="97" customFormat="1" ht="15.75" customHeight="1" thickBot="1" x14ac:dyDescent="0.3">
      <c r="A16" s="217" t="s">
        <v>213</v>
      </c>
      <c r="B16" s="241" t="s">
        <v>214</v>
      </c>
      <c r="C16" s="169" t="s">
        <v>187</v>
      </c>
      <c r="D16" s="183"/>
      <c r="E16" s="169" t="s">
        <v>197</v>
      </c>
      <c r="F16" s="170" t="s">
        <v>194</v>
      </c>
      <c r="G16" s="171" t="s">
        <v>170</v>
      </c>
      <c r="H16" s="223">
        <v>14000</v>
      </c>
      <c r="I16" s="172">
        <f t="shared" si="0"/>
        <v>0</v>
      </c>
      <c r="J16" s="175">
        <v>13</v>
      </c>
      <c r="K16" s="251">
        <v>13</v>
      </c>
      <c r="L16" s="180">
        <f t="shared" si="1"/>
        <v>538.46153846153845</v>
      </c>
      <c r="M16" s="180">
        <f t="shared" si="2"/>
        <v>67.307692307692307</v>
      </c>
      <c r="N16" s="180">
        <f t="shared" si="3"/>
        <v>1.1217948717948718</v>
      </c>
      <c r="O16" s="174">
        <f t="shared" si="4"/>
        <v>7000</v>
      </c>
      <c r="P16" s="175"/>
      <c r="Q16" s="174">
        <f t="shared" si="5"/>
        <v>0</v>
      </c>
      <c r="R16" s="175"/>
      <c r="S16" s="174">
        <f t="shared" si="107"/>
        <v>0</v>
      </c>
      <c r="T16" s="171"/>
      <c r="U16" s="174">
        <f t="shared" si="6"/>
        <v>0</v>
      </c>
      <c r="V16" s="173">
        <f t="shared" si="7"/>
        <v>0</v>
      </c>
      <c r="W16" s="173">
        <f t="shared" si="8"/>
        <v>0</v>
      </c>
      <c r="X16" s="171"/>
      <c r="Y16" s="174">
        <f t="shared" si="9"/>
        <v>0</v>
      </c>
      <c r="Z16" s="171"/>
      <c r="AA16" s="174">
        <f t="shared" si="10"/>
        <v>0</v>
      </c>
      <c r="AB16" s="171"/>
      <c r="AC16" s="174">
        <f t="shared" si="11"/>
        <v>0</v>
      </c>
      <c r="AD16" s="171"/>
      <c r="AE16" s="174">
        <f t="shared" si="12"/>
        <v>0</v>
      </c>
      <c r="AF16" s="175"/>
      <c r="AG16" s="174">
        <f t="shared" si="13"/>
        <v>0</v>
      </c>
      <c r="AH16" s="171"/>
      <c r="AI16" s="174">
        <f t="shared" si="14"/>
        <v>0</v>
      </c>
      <c r="AJ16" s="171"/>
      <c r="AK16" s="174">
        <f t="shared" si="15"/>
        <v>0</v>
      </c>
      <c r="AL16" s="171"/>
      <c r="AM16" s="174">
        <f t="shared" si="16"/>
        <v>0</v>
      </c>
      <c r="AN16" s="173">
        <f t="shared" si="17"/>
        <v>0</v>
      </c>
      <c r="AO16" s="173">
        <f t="shared" si="18"/>
        <v>0</v>
      </c>
      <c r="AP16" s="171"/>
      <c r="AQ16" s="174">
        <f t="shared" si="19"/>
        <v>0</v>
      </c>
      <c r="AR16" s="171"/>
      <c r="AS16" s="174">
        <f t="shared" si="20"/>
        <v>0</v>
      </c>
      <c r="AT16" s="171"/>
      <c r="AU16" s="174">
        <f t="shared" si="21"/>
        <v>0</v>
      </c>
      <c r="AV16" s="171"/>
      <c r="AW16" s="228">
        <f t="shared" si="22"/>
        <v>0</v>
      </c>
      <c r="AX16" s="171"/>
      <c r="AY16" s="174">
        <f t="shared" si="23"/>
        <v>0</v>
      </c>
      <c r="AZ16" s="171"/>
      <c r="BA16" s="174">
        <f t="shared" si="24"/>
        <v>0</v>
      </c>
      <c r="BB16" s="171"/>
      <c r="BC16" s="174">
        <f t="shared" si="25"/>
        <v>0</v>
      </c>
      <c r="BD16" s="171"/>
      <c r="BE16" s="174">
        <f t="shared" si="26"/>
        <v>0</v>
      </c>
      <c r="BF16" s="171"/>
      <c r="BG16" s="174">
        <f t="shared" si="27"/>
        <v>0</v>
      </c>
      <c r="BH16" s="171"/>
      <c r="BI16" s="174">
        <f t="shared" si="28"/>
        <v>0</v>
      </c>
      <c r="BJ16" s="176">
        <f t="shared" si="29"/>
        <v>0</v>
      </c>
      <c r="BK16" s="173">
        <f t="shared" si="30"/>
        <v>0</v>
      </c>
      <c r="BL16" s="171"/>
      <c r="BM16" s="174"/>
      <c r="BN16" s="174"/>
      <c r="BO16" s="171"/>
      <c r="BP16" s="171"/>
      <c r="BQ16" s="171"/>
      <c r="BR16" s="171"/>
      <c r="BS16" s="174">
        <f t="shared" si="31"/>
        <v>0</v>
      </c>
      <c r="BT16" s="174">
        <f t="shared" si="32"/>
        <v>0</v>
      </c>
      <c r="BU16" s="173">
        <f t="shared" si="33"/>
        <v>0</v>
      </c>
      <c r="BV16" s="173">
        <f t="shared" si="34"/>
        <v>0</v>
      </c>
      <c r="BW16" s="171"/>
      <c r="BX16" s="171"/>
      <c r="BY16" s="171"/>
      <c r="BZ16" s="171"/>
      <c r="CA16" s="171"/>
      <c r="CB16" s="171"/>
      <c r="CC16" s="171"/>
      <c r="CD16" s="171"/>
      <c r="CE16" s="171"/>
      <c r="CF16" s="171"/>
      <c r="CG16" s="171"/>
      <c r="CH16" s="174">
        <f t="shared" si="35"/>
        <v>0</v>
      </c>
      <c r="CI16" s="175"/>
      <c r="CJ16" s="174">
        <f t="shared" si="36"/>
        <v>0</v>
      </c>
      <c r="CK16" s="175"/>
      <c r="CL16" s="174">
        <f t="shared" si="37"/>
        <v>0</v>
      </c>
      <c r="CM16" s="171">
        <f t="shared" si="38"/>
        <v>0</v>
      </c>
      <c r="CN16" s="177">
        <f t="shared" si="39"/>
        <v>0</v>
      </c>
      <c r="CO16" s="173">
        <f t="shared" si="40"/>
        <v>0</v>
      </c>
      <c r="CP16" s="176">
        <f t="shared" si="41"/>
        <v>7000</v>
      </c>
      <c r="CQ16" s="187" t="str">
        <f>_xlfn.IFNA(VLOOKUP(B16,'[1]201'!$E$7:$H$66,2,FALSE),"")</f>
        <v/>
      </c>
      <c r="CR16" s="187" t="str">
        <f>_xlfn.IFNA(VLOOKUP(B16,'[1]201'!$E$7:$H$66,3,FALSE),"")</f>
        <v/>
      </c>
      <c r="CS16" s="187" t="str">
        <f>_xlfn.IFNA(VLOOKUP(B16,'[1]201'!$E$7:$H$66,4,FALSE),"")</f>
        <v/>
      </c>
      <c r="CT16" s="179"/>
      <c r="CU16" s="179"/>
      <c r="CV16" s="179"/>
      <c r="CW16" s="180">
        <v>630</v>
      </c>
      <c r="CX16" s="181">
        <v>1330</v>
      </c>
      <c r="CY16" s="182">
        <v>10</v>
      </c>
      <c r="CZ16" s="176">
        <f t="shared" si="42"/>
        <v>1970</v>
      </c>
      <c r="DA16" s="181">
        <f t="shared" si="43"/>
        <v>280</v>
      </c>
      <c r="DB16" s="182">
        <f t="shared" si="44"/>
        <v>280</v>
      </c>
      <c r="DC16" s="176">
        <f t="shared" si="45"/>
        <v>560</v>
      </c>
      <c r="DD16" s="181">
        <v>100</v>
      </c>
      <c r="DE16" s="182">
        <v>100</v>
      </c>
      <c r="DF16" s="176">
        <f t="shared" si="46"/>
        <v>200</v>
      </c>
      <c r="DG16" s="176">
        <f t="shared" si="106"/>
        <v>1010</v>
      </c>
      <c r="DH16" s="183"/>
      <c r="DI16" s="183"/>
      <c r="DJ16" s="183"/>
      <c r="DK16" s="183"/>
      <c r="DL16" s="176">
        <f t="shared" si="47"/>
        <v>0</v>
      </c>
      <c r="DM16" s="183"/>
      <c r="DN16" s="183"/>
      <c r="DO16" s="183"/>
      <c r="DP16" s="183"/>
      <c r="DQ16" s="172">
        <f t="shared" si="48"/>
        <v>0</v>
      </c>
      <c r="DR16" s="179"/>
      <c r="DS16" s="179"/>
      <c r="DT16" s="175"/>
      <c r="DU16" s="179"/>
      <c r="DV16" s="179"/>
      <c r="DW16" s="220"/>
      <c r="DX16" s="218"/>
      <c r="DY16" s="173">
        <f t="shared" si="49"/>
        <v>0</v>
      </c>
      <c r="DZ16" s="179">
        <v>310</v>
      </c>
      <c r="EA16" s="215"/>
      <c r="EB16" s="215"/>
      <c r="EC16" s="215"/>
      <c r="ED16" s="179"/>
      <c r="EE16" s="184"/>
      <c r="EF16" s="185">
        <f t="shared" si="50"/>
        <v>310</v>
      </c>
      <c r="EG16" s="176">
        <f t="shared" si="51"/>
        <v>1320</v>
      </c>
      <c r="EH16" s="176">
        <f t="shared" si="52"/>
        <v>5680</v>
      </c>
      <c r="EI16" s="176">
        <f t="shared" si="53"/>
        <v>8010</v>
      </c>
      <c r="EJ16" s="176">
        <f t="shared" si="54"/>
        <v>0</v>
      </c>
      <c r="EK16" s="176">
        <f t="shared" si="55"/>
        <v>0</v>
      </c>
      <c r="EL16" s="176">
        <f t="shared" si="56"/>
        <v>0</v>
      </c>
      <c r="EM16" s="176">
        <f t="shared" si="57"/>
        <v>5680</v>
      </c>
      <c r="EN16" s="172">
        <f t="shared" si="58"/>
        <v>583.33333333333337</v>
      </c>
      <c r="EO16" s="234" t="s">
        <v>213</v>
      </c>
      <c r="EP16" s="214">
        <f t="shared" si="59"/>
        <v>583.33333333333337</v>
      </c>
      <c r="EQ16" s="83">
        <f>IFERROR(O16+IFERROR(VLOOKUP(B16,'[1]Mar1 Payroll'!$B$9:$FJ$68,131,FALSE),),0)</f>
        <v>7000</v>
      </c>
      <c r="ER16" s="83">
        <f>IFERROR(Q16+W16+AO16+BK16+BL16+IFERROR(VLOOKUP(B16,'[1]Mar1 Payroll'!$B$9:$FJ$68,132,FALSE),),)</f>
        <v>0</v>
      </c>
      <c r="ES16" s="83">
        <f t="array" ref="ES16">IFERROR(IF(BX16+CB16+CD16+CE16+CF16+EN16+IFERROR(SUM(VLOOKUP(B16,'[1]Mar1 Payroll'!$B$9:$FJ$68,{133,137,140,141,144,146,147,148},FALSE)),)&gt;90000,EN16+IFERROR(SUM(VLOOKUP(B16,'[1]Mar1 Payroll'!$B$9:$FJ$68,{133,144},FALSE)),),IF(BX16+CB16+CD16+CE16+CF16+EN16+IFERROR(SUM(VLOOKUP(B16,'[1]Mar1 Payroll'!$B$9:$EK$68,{133,137,140,141,144,146,147,148},FALSE)),)&lt;90000,0,0)),0)</f>
        <v>0</v>
      </c>
      <c r="ET16" s="83">
        <f>IFERROR(BW16+IFERROR(VLOOKUP(B16,'[1]Mar1 Payroll'!$B$9:$FJ$68,134,FALSE),),0)</f>
        <v>0</v>
      </c>
      <c r="EU16" s="83">
        <f>IFERROR(BU16+IFERROR(VLOOKUP(B16,'[1]Mar1 Payroll'!$B$9:$FJ$68,135,FALSE),),0)</f>
        <v>0</v>
      </c>
      <c r="EV16" s="83">
        <f>IFERROR(BV16+IFERROR(VLOOKUP(B16,'[1]Mar1 Payroll'!$B$9:$FJ$68,136,FALSE),),0)</f>
        <v>0</v>
      </c>
      <c r="EW16" s="83">
        <f t="array" ref="EW16">IFERROR(IF(BX16+CB16+CD16+CE16+CF16+EN16+IFERROR(SUM(VLOOKUP(B16,'[1]Mar1 Payroll'!$B$9:$FJ$68,{133,137,140,141,144,146,147,148},FALSE)),)&gt;90000,BX16+IFERROR(SUM(VLOOKUP(B16,'[1]Mar1 Payroll'!$B$9:$FJ$68,{137,147},FALSE)),),IF(BX16+CB16+CD16+CE16+CF16+EN16+IFERROR(SUM(VLOOKUP(B16,'[1]Mar1 Payroll'!$B$9:$EK$68,{133,137,140,141,144,146,147,148},FALSE)),)&lt;90000,0,0)),0)</f>
        <v>0</v>
      </c>
      <c r="EX16" s="83">
        <f>IFERROR(BY16+IFERROR(VLOOKUP(B16,'[1]Mar1 Payroll'!$B$9:$FJ$68,138,FALSE),),0)</f>
        <v>0</v>
      </c>
      <c r="EY16" s="83">
        <f>IFERROR(BZ16+IFERROR(VLOOKUP(B16,'[1]Mar1 Payroll'!$B$9:$FJ$68,139,FALSE),),0)</f>
        <v>0</v>
      </c>
      <c r="EZ16" s="83">
        <f t="array" ref="EZ16">IFERROR(IF(BX16+CB16+CD16+CE16+CF16+EN16+IFERROR(SUM(VLOOKUP(B16,'[1]Mar1 Payroll'!$B$9:$FJ$68,{133,137,140,141,144,146,147,148},FALSE)),)&gt;90000,CB16+IFERROR(SUM(VLOOKUP(B16,'[1]Mar1 Payroll'!$B$9:$FJ$68,{140,146},FALSE)),),IF(BX16+CB16+CD16+CE16+CF16+EN16+IFERROR(SUM(VLOOKUP(B16,'[1]Mar1 Payroll'!$B$9:$EK$68,{133,137,140,141,144,146,147,148},FALSE)),)&lt;90000,0,0)),0)</f>
        <v>0</v>
      </c>
      <c r="FA16" s="83">
        <f t="array" ref="FA16">IFERROR(IF(BX16+CB16+CD16+CE16+CF16+EN16+IFERROR(SUM(VLOOKUP(B16,'[1]Mar1 Payroll'!$B$9:$FJ$68,{133,137,140,141,144,146,147,148},FALSE)),)&gt;90000,CD16+CE16+CF16+IFERROR(SUM(VLOOKUP(B16,'[1]Mar1 Payroll'!$B$9:$FJ$68,{141,148},FALSE)),),IF(BX16+CB16+CD16+CE16+CF16+EN16+IFERROR(SUM(VLOOKUP(B16,'[1]Mar1 Payroll'!$B$9:$EK$68,{133,137,140,141,144,146,147,148},FALSE)),)&lt;90000,0,0)),0)</f>
        <v>0</v>
      </c>
      <c r="FB16" s="83">
        <f t="shared" si="60"/>
        <v>0</v>
      </c>
      <c r="FC16" s="83">
        <f t="shared" si="61"/>
        <v>0</v>
      </c>
      <c r="FD16" s="83">
        <f t="array" ref="FD16">IFERROR(IF(BX16+CB16+CD16+CE16+CF16+EN16+IFERROR(SUM(VLOOKUP(B16,'[1]Mar1 Payroll'!$B$9:$FJ$68,{133,137,140,141,144,146,147,148},FALSE)),)&gt;90000,0,IF(BX16+CB16+CD16+CE16+CF16+EN16+IFERROR(SUM(VLOOKUP(B16,'[1]Mar1 Payroll'!$B$9:$EK$68,{133,137,140,141,144,146,147,148},FALSE)),)&lt;90000,EN16+IFERROR(SUM(VLOOKUP(B16,'[1]Mar1 Payroll'!$B$9:$FJ$68,{133,144},FALSE)),),)),)</f>
        <v>583.33333333333337</v>
      </c>
      <c r="FE16" s="83">
        <f>IFERROR(CC16+IFERROR(VLOOKUP(B16,'[1]Mar1 Payroll'!$B$9:$FJ$68,145,FALSE),),0)</f>
        <v>0</v>
      </c>
      <c r="FF16" s="83">
        <f t="array" ref="FF16">IFERROR(IF(BX16+CB16+CD16+CE16+CF16+EN16+IFERROR(SUM(VLOOKUP(B16,'[1]Mar1 Payroll'!$B$9:$FJ$68,{133,137,140,141,144,146,147,148},FALSE)),)&gt;90000,0,IF(BX16+CB16+CD16+CE16+CF16+EN16+IFERROR(SUM(VLOOKUP(B16,'[1]Mar1 Payroll'!$B$9:$EK$68,{133,137,140,141,144,146,147,148},FALSE)),)&lt;90000,CB16+IFERROR(SUM(VLOOKUP(B16,'[1]Mar1 Payroll'!$B$9:$FJ$68,{140,146},FALSE)),))),0)</f>
        <v>0</v>
      </c>
      <c r="FG16" s="83">
        <f t="array" ref="FG16">IFERROR(IF(BX16+CB16+CD16+CE16+CF16+EN16+IFERROR(SUM(VLOOKUP(B16,'[1]Mar1 Payroll'!$B$9:$FJ$68,{133,137,140,141,144,146,147,148},FALSE)),)&gt;90000,0,IF(BX16+CB16+CD16+CE16+CF16+EN16+IFERROR(SUM(VLOOKUP(B16,'[1]Mar1 Payroll'!$B$9:$EK$68,{133,137,140,141,144,146,147,148},FALSE)),)&lt;90000,BX16+IFERROR(SUM(VLOOKUP(B16,'[1]Mar1 Payroll'!$B$9:$FJ$68,{137,147},FALSE)),))),0)</f>
        <v>0</v>
      </c>
      <c r="FH16" s="83">
        <f t="array" ref="FH16">IFERROR(IF(BX16+CB16+CD16+CE16+CF16+EN16+IFERROR(SUM(VLOOKUP(B16,'[1]Mar1 Payroll'!$B$9:$FJ$68,{133,137,140,141,144,146,147,148},FALSE)),)&gt;90000,0,IF(BX16+CB16+CD16+CE16+CF16+EN16+IFERROR(SUM(VLOOKUP(B16,'[1]Mar1 Payroll'!$B$9:$EK$68,{133,137,140,141,144,146,147,148},FALSE)),)&lt;90000,CD16+CE16+CF16+IFERROR(SUM(VLOOKUP(B16,'[1]Mar1 Payroll'!$B$9:$FJ$68,{141,148},FALSE)),))),0)</f>
        <v>0</v>
      </c>
      <c r="FI16" s="83">
        <f t="shared" si="62"/>
        <v>0</v>
      </c>
      <c r="FJ16" s="83">
        <f t="shared" si="63"/>
        <v>7000</v>
      </c>
      <c r="FK16" s="83">
        <f>IFERROR(EJ16+EK16+EL16+IFERROR(VLOOKUP(B16,'[1]Mar1 Payroll'!$B$9:$FJ$68,151,FALSE),),0)</f>
        <v>0</v>
      </c>
      <c r="FL16" s="83">
        <f>IFERROR(CY16+IFERROR(VLOOKUP(B16,'[1]Mar1 Payroll'!$B$9:$FJ$68,152,FALSE),),0)</f>
        <v>10</v>
      </c>
      <c r="FM16" s="83">
        <f>IFERROR(DA16+DB16+IFERROR(VLOOKUP(B16,'[1]Mar1 Payroll'!$B$9:$FJ$68,153,FALSE),),0)</f>
        <v>560</v>
      </c>
      <c r="FN16" s="83">
        <f>IFERROR(DD16+DE16+IFERROR(VLOOKUP(B16,'[1]Mar1 Payroll'!$B$9:$FJ$68,154,FALSE),),0)</f>
        <v>200</v>
      </c>
      <c r="FO16" s="83">
        <f>IFERROR(CO16+IFERROR(VLOOKUP(B16,'[1]Mar1 Payroll'!$B$9:$FJ$68,155,FALSE),),0)</f>
        <v>0</v>
      </c>
      <c r="FP16" s="83">
        <f>IFERROR(DZ16+EA16+EF16+IFERROR(VLOOKUP(B16,'[1]Mar1 Payroll'!$B$9:$FJ$68,156,FALSE),),0)</f>
        <v>620</v>
      </c>
      <c r="FQ16" s="83">
        <f>IFERROR(DH16+IFERROR(VLOOKUP(B16,'[1]Mar1 Payroll'!$B$9:$FJ$68,157,FALSE),),0)</f>
        <v>0</v>
      </c>
      <c r="FR16" s="83">
        <f>IFERROR(DI16+IFERROR(VLOOKUP(B16,'[1]Mar1 Payroll'!$B$9:$FJ$68,158,FALSE),),0)</f>
        <v>0</v>
      </c>
      <c r="FS16" s="83">
        <f>IFERROR(DK16+IFERROR(VLOOKUP(B16,'[1]Mar1 Payroll'!$B$9:$FJ$68,159,FALSE),),0)</f>
        <v>0</v>
      </c>
      <c r="FT16" s="83">
        <f>IFERROR(DM16+IFERROR(VLOOKUP(B16,'[1]Mar1 Payroll'!$B$9:$FJ$68,160,FALSE),),0)</f>
        <v>0</v>
      </c>
      <c r="FU16" s="83">
        <f>IFERROR(DN16+IFERROR(VLOOKUP(B16,'[1]Mar1 Payroll'!$B$9:$FJ$68,161,FALSE),),0)</f>
        <v>0</v>
      </c>
      <c r="FV16" s="83">
        <f>IFERROR(DO16+IFERROR(VLOOKUP(B16,'[1]Mar1 Payroll'!$B$9:$FJ$68,162,FALSE),),0)</f>
        <v>0</v>
      </c>
      <c r="FW16" s="83">
        <f>IFERROR(DP16+IFERROR(VLOOKUP(B16,'[1]Mar1 Payroll'!$B$9:$FJ$68,163,FALSE),),0)</f>
        <v>0</v>
      </c>
      <c r="FX16" s="83">
        <f t="shared" si="64"/>
        <v>1390</v>
      </c>
      <c r="FY16" s="84">
        <f t="shared" si="65"/>
        <v>8390</v>
      </c>
      <c r="FZ16" s="85"/>
      <c r="GA16" s="105"/>
      <c r="GB16" s="86">
        <f t="shared" si="66"/>
        <v>7000</v>
      </c>
      <c r="GC16" s="83">
        <f t="shared" si="67"/>
        <v>0</v>
      </c>
      <c r="GD16" s="83">
        <f t="shared" si="68"/>
        <v>0</v>
      </c>
      <c r="GE16" s="83">
        <f t="shared" si="69"/>
        <v>0</v>
      </c>
      <c r="GF16" s="83">
        <f t="shared" si="70"/>
        <v>0</v>
      </c>
      <c r="GG16" s="83">
        <f t="shared" si="71"/>
        <v>0</v>
      </c>
      <c r="GH16" s="83">
        <f t="shared" si="72"/>
        <v>0</v>
      </c>
      <c r="GI16" s="83">
        <f t="shared" si="73"/>
        <v>0</v>
      </c>
      <c r="GJ16" s="83">
        <f t="shared" si="74"/>
        <v>0</v>
      </c>
      <c r="GK16" s="83">
        <f t="shared" si="75"/>
        <v>0</v>
      </c>
      <c r="GL16" s="83">
        <f t="shared" si="76"/>
        <v>0</v>
      </c>
      <c r="GM16" s="83">
        <f t="shared" si="77"/>
        <v>0</v>
      </c>
      <c r="GN16" s="83">
        <f t="shared" si="78"/>
        <v>0</v>
      </c>
      <c r="GO16" s="83">
        <f t="shared" si="79"/>
        <v>583.33333333333337</v>
      </c>
      <c r="GP16" s="83">
        <f t="shared" si="80"/>
        <v>0</v>
      </c>
      <c r="GQ16" s="83">
        <f t="shared" si="81"/>
        <v>0</v>
      </c>
      <c r="GR16" s="83">
        <f t="shared" si="82"/>
        <v>0</v>
      </c>
      <c r="GS16" s="83">
        <f t="shared" si="83"/>
        <v>0</v>
      </c>
      <c r="GT16" s="83">
        <f t="shared" si="84"/>
        <v>0</v>
      </c>
      <c r="GU16" s="83">
        <f t="shared" si="85"/>
        <v>7000</v>
      </c>
      <c r="GV16" s="83">
        <f t="shared" si="86"/>
        <v>0</v>
      </c>
      <c r="GW16" s="83">
        <f t="shared" si="87"/>
        <v>10</v>
      </c>
      <c r="GX16" s="83">
        <f t="shared" si="88"/>
        <v>560</v>
      </c>
      <c r="GY16" s="83">
        <f t="shared" si="89"/>
        <v>200</v>
      </c>
      <c r="GZ16" s="83">
        <f t="shared" si="90"/>
        <v>0</v>
      </c>
      <c r="HA16" s="83">
        <f t="shared" si="91"/>
        <v>620</v>
      </c>
      <c r="HB16" s="83">
        <f t="shared" si="92"/>
        <v>0</v>
      </c>
      <c r="HC16" s="83">
        <f t="shared" si="93"/>
        <v>0</v>
      </c>
      <c r="HD16" s="83">
        <f t="shared" si="94"/>
        <v>0</v>
      </c>
      <c r="HE16" s="83">
        <f t="shared" si="95"/>
        <v>0</v>
      </c>
      <c r="HF16" s="83">
        <f t="shared" si="96"/>
        <v>0</v>
      </c>
      <c r="HG16" s="83">
        <f t="shared" si="97"/>
        <v>0</v>
      </c>
      <c r="HH16" s="83">
        <f t="shared" si="98"/>
        <v>0</v>
      </c>
      <c r="HI16" s="83">
        <f t="shared" si="99"/>
        <v>1390</v>
      </c>
      <c r="HJ16" s="87">
        <f t="shared" si="100"/>
        <v>8390</v>
      </c>
      <c r="HK16" s="105" t="s">
        <v>172</v>
      </c>
      <c r="HL16" s="88">
        <f t="shared" si="101"/>
        <v>5680</v>
      </c>
      <c r="HM16" s="88">
        <f t="shared" si="102"/>
        <v>0</v>
      </c>
      <c r="HN16" s="88"/>
      <c r="HO16" s="89">
        <v>7</v>
      </c>
      <c r="HP16" s="91">
        <f t="shared" si="103"/>
        <v>7000</v>
      </c>
      <c r="HQ16" s="91">
        <f t="shared" si="104"/>
        <v>6690</v>
      </c>
      <c r="HR16" s="91">
        <f t="shared" si="105"/>
        <v>-1010</v>
      </c>
      <c r="HS16" s="91"/>
      <c r="HT16" s="91"/>
      <c r="HU16" s="91"/>
      <c r="HV16" s="91"/>
      <c r="HW16" s="91"/>
      <c r="HX16" s="91"/>
    </row>
    <row r="17" spans="1:233" s="97" customFormat="1" ht="17.25" customHeight="1" thickBot="1" x14ac:dyDescent="0.3">
      <c r="A17" s="217" t="s">
        <v>222</v>
      </c>
      <c r="B17" s="242" t="s">
        <v>218</v>
      </c>
      <c r="C17" s="169" t="s">
        <v>187</v>
      </c>
      <c r="D17" s="183"/>
      <c r="E17" s="169" t="s">
        <v>190</v>
      </c>
      <c r="F17" s="170" t="s">
        <v>194</v>
      </c>
      <c r="G17" s="171" t="s">
        <v>170</v>
      </c>
      <c r="H17" s="223">
        <v>13000</v>
      </c>
      <c r="I17" s="172">
        <f t="shared" si="0"/>
        <v>0</v>
      </c>
      <c r="J17" s="175">
        <v>13</v>
      </c>
      <c r="K17" s="251">
        <v>11</v>
      </c>
      <c r="L17" s="180">
        <f t="shared" si="1"/>
        <v>500</v>
      </c>
      <c r="M17" s="180">
        <f t="shared" si="2"/>
        <v>62.5</v>
      </c>
      <c r="N17" s="180">
        <f t="shared" si="3"/>
        <v>1.0416666666666667</v>
      </c>
      <c r="O17" s="174">
        <f t="shared" si="4"/>
        <v>6500</v>
      </c>
      <c r="P17" s="175">
        <v>44</v>
      </c>
      <c r="Q17" s="174">
        <f t="shared" si="5"/>
        <v>3437.5</v>
      </c>
      <c r="R17" s="175"/>
      <c r="S17" s="174">
        <f t="shared" si="107"/>
        <v>0</v>
      </c>
      <c r="T17" s="171"/>
      <c r="U17" s="174">
        <f t="shared" si="6"/>
        <v>0</v>
      </c>
      <c r="V17" s="173">
        <f t="shared" si="7"/>
        <v>0</v>
      </c>
      <c r="W17" s="173">
        <f t="shared" si="8"/>
        <v>0</v>
      </c>
      <c r="X17" s="171"/>
      <c r="Y17" s="174">
        <f t="shared" si="9"/>
        <v>0</v>
      </c>
      <c r="Z17" s="171"/>
      <c r="AA17" s="174">
        <f t="shared" si="10"/>
        <v>0</v>
      </c>
      <c r="AB17" s="171"/>
      <c r="AC17" s="174">
        <f t="shared" si="11"/>
        <v>0</v>
      </c>
      <c r="AD17" s="171"/>
      <c r="AE17" s="174">
        <f t="shared" si="12"/>
        <v>0</v>
      </c>
      <c r="AF17" s="175"/>
      <c r="AG17" s="174">
        <f t="shared" si="13"/>
        <v>0</v>
      </c>
      <c r="AH17" s="171"/>
      <c r="AI17" s="174">
        <f t="shared" si="14"/>
        <v>0</v>
      </c>
      <c r="AJ17" s="171"/>
      <c r="AK17" s="174">
        <f t="shared" si="15"/>
        <v>0</v>
      </c>
      <c r="AL17" s="171"/>
      <c r="AM17" s="174">
        <f t="shared" si="16"/>
        <v>0</v>
      </c>
      <c r="AN17" s="173">
        <f t="shared" si="17"/>
        <v>0</v>
      </c>
      <c r="AO17" s="173">
        <f t="shared" si="18"/>
        <v>0</v>
      </c>
      <c r="AP17" s="171"/>
      <c r="AQ17" s="174">
        <f t="shared" si="19"/>
        <v>0</v>
      </c>
      <c r="AR17" s="171">
        <v>26</v>
      </c>
      <c r="AS17" s="174">
        <f t="shared" si="20"/>
        <v>203.125</v>
      </c>
      <c r="AT17" s="171"/>
      <c r="AU17" s="174">
        <f t="shared" si="21"/>
        <v>0</v>
      </c>
      <c r="AV17" s="171"/>
      <c r="AW17" s="228">
        <f t="shared" si="22"/>
        <v>0</v>
      </c>
      <c r="AX17" s="171"/>
      <c r="AY17" s="174">
        <f t="shared" si="23"/>
        <v>0</v>
      </c>
      <c r="AZ17" s="171"/>
      <c r="BA17" s="174">
        <f t="shared" si="24"/>
        <v>0</v>
      </c>
      <c r="BB17" s="171"/>
      <c r="BC17" s="174">
        <f t="shared" si="25"/>
        <v>0</v>
      </c>
      <c r="BD17" s="171"/>
      <c r="BE17" s="174">
        <f t="shared" si="26"/>
        <v>0</v>
      </c>
      <c r="BF17" s="171"/>
      <c r="BG17" s="174">
        <f t="shared" si="27"/>
        <v>0</v>
      </c>
      <c r="BH17" s="171"/>
      <c r="BI17" s="174">
        <f t="shared" si="28"/>
        <v>0</v>
      </c>
      <c r="BJ17" s="176">
        <f t="shared" si="29"/>
        <v>26</v>
      </c>
      <c r="BK17" s="173">
        <f t="shared" si="30"/>
        <v>203.125</v>
      </c>
      <c r="BL17" s="171"/>
      <c r="BM17" s="174"/>
      <c r="BN17" s="174"/>
      <c r="BO17" s="171"/>
      <c r="BP17" s="171"/>
      <c r="BQ17" s="171"/>
      <c r="BR17" s="171"/>
      <c r="BS17" s="174">
        <f t="shared" si="31"/>
        <v>0</v>
      </c>
      <c r="BT17" s="174">
        <f t="shared" si="32"/>
        <v>0</v>
      </c>
      <c r="BU17" s="173">
        <f t="shared" si="33"/>
        <v>0</v>
      </c>
      <c r="BV17" s="173">
        <f t="shared" si="34"/>
        <v>0</v>
      </c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4">
        <f t="shared" si="35"/>
        <v>0</v>
      </c>
      <c r="CI17" s="175"/>
      <c r="CJ17" s="174">
        <f t="shared" si="36"/>
        <v>0</v>
      </c>
      <c r="CK17" s="175"/>
      <c r="CL17" s="174">
        <f t="shared" si="37"/>
        <v>0</v>
      </c>
      <c r="CM17" s="171">
        <f t="shared" si="38"/>
        <v>2</v>
      </c>
      <c r="CN17" s="177">
        <f t="shared" si="39"/>
        <v>-1000</v>
      </c>
      <c r="CO17" s="173">
        <f t="shared" si="40"/>
        <v>-1000</v>
      </c>
      <c r="CP17" s="176">
        <f t="shared" si="41"/>
        <v>9140.625</v>
      </c>
      <c r="CQ17" s="187" t="str">
        <f>_xlfn.IFNA(VLOOKUP(B17,'[1]201'!$E$7:$H$66,2,FALSE),"")</f>
        <v/>
      </c>
      <c r="CR17" s="187" t="str">
        <f>_xlfn.IFNA(VLOOKUP(B17,'[1]201'!$E$7:$H$66,3,FALSE),"")</f>
        <v/>
      </c>
      <c r="CS17" s="187" t="str">
        <f>_xlfn.IFNA(VLOOKUP(B17,'[1]201'!$E$7:$H$66,4,FALSE),"")</f>
        <v/>
      </c>
      <c r="CT17" s="179"/>
      <c r="CU17" s="179"/>
      <c r="CV17" s="179"/>
      <c r="CW17" s="180">
        <v>585</v>
      </c>
      <c r="CX17" s="181">
        <v>1235</v>
      </c>
      <c r="CY17" s="182">
        <v>10</v>
      </c>
      <c r="CZ17" s="176">
        <f t="shared" si="42"/>
        <v>1830</v>
      </c>
      <c r="DA17" s="181">
        <f t="shared" si="43"/>
        <v>260</v>
      </c>
      <c r="DB17" s="182">
        <f t="shared" si="44"/>
        <v>260</v>
      </c>
      <c r="DC17" s="176">
        <f t="shared" si="45"/>
        <v>520</v>
      </c>
      <c r="DD17" s="181">
        <v>100</v>
      </c>
      <c r="DE17" s="182">
        <v>100</v>
      </c>
      <c r="DF17" s="176">
        <f t="shared" si="46"/>
        <v>200</v>
      </c>
      <c r="DG17" s="176">
        <f t="shared" si="106"/>
        <v>945</v>
      </c>
      <c r="DH17" s="183"/>
      <c r="DI17" s="183"/>
      <c r="DJ17" s="183"/>
      <c r="DK17" s="183"/>
      <c r="DL17" s="176">
        <f t="shared" si="47"/>
        <v>0</v>
      </c>
      <c r="DM17" s="183"/>
      <c r="DN17" s="183"/>
      <c r="DO17" s="183"/>
      <c r="DP17" s="183"/>
      <c r="DQ17" s="172">
        <f t="shared" si="48"/>
        <v>0</v>
      </c>
      <c r="DR17" s="179"/>
      <c r="DS17" s="179"/>
      <c r="DT17" s="175"/>
      <c r="DU17" s="179"/>
      <c r="DV17" s="179"/>
      <c r="DW17" s="220"/>
      <c r="DX17" s="218"/>
      <c r="DY17" s="173">
        <f t="shared" si="49"/>
        <v>0</v>
      </c>
      <c r="DZ17" s="179">
        <v>322</v>
      </c>
      <c r="EA17" s="215"/>
      <c r="EB17" s="215"/>
      <c r="EC17" s="215"/>
      <c r="ED17" s="179"/>
      <c r="EE17" s="184"/>
      <c r="EF17" s="185">
        <f t="shared" si="50"/>
        <v>322</v>
      </c>
      <c r="EG17" s="176">
        <f t="shared" si="51"/>
        <v>1267</v>
      </c>
      <c r="EH17" s="176">
        <f t="shared" si="52"/>
        <v>7873.625</v>
      </c>
      <c r="EI17" s="176">
        <f t="shared" si="53"/>
        <v>11085.625</v>
      </c>
      <c r="EJ17" s="176">
        <f t="shared" si="54"/>
        <v>0</v>
      </c>
      <c r="EK17" s="176">
        <f t="shared" si="55"/>
        <v>0</v>
      </c>
      <c r="EL17" s="176">
        <f t="shared" si="56"/>
        <v>0</v>
      </c>
      <c r="EM17" s="176">
        <f t="shared" si="57"/>
        <v>7873.625</v>
      </c>
      <c r="EN17" s="172">
        <f t="shared" si="58"/>
        <v>458.33333333333331</v>
      </c>
      <c r="EO17" s="234" t="s">
        <v>222</v>
      </c>
      <c r="EP17" s="214">
        <f t="shared" si="59"/>
        <v>458.33333333333331</v>
      </c>
      <c r="EQ17" s="83">
        <f>IFERROR(O17+IFERROR(VLOOKUP(B17,'[1]Mar1 Payroll'!$B$9:$FJ$68,131,FALSE),),0)</f>
        <v>6500</v>
      </c>
      <c r="ER17" s="83">
        <f>IFERROR(Q17+W17+AO17+BK17+BL17+IFERROR(VLOOKUP(B17,'[1]Mar1 Payroll'!$B$9:$FJ$68,132,FALSE),),)</f>
        <v>3640.625</v>
      </c>
      <c r="ES17" s="83">
        <f t="array" ref="ES17">IFERROR(IF(BX17+CB17+CD17+CE17+CF17+EN17+IFERROR(SUM(VLOOKUP(B17,'[1]Mar1 Payroll'!$B$9:$FJ$68,{133,137,140,141,144,146,147,148},FALSE)),)&gt;90000,EN17+IFERROR(SUM(VLOOKUP(B17,'[1]Mar1 Payroll'!$B$9:$FJ$68,{133,144},FALSE)),),IF(BX17+CB17+CD17+CE17+CF17+EN17+IFERROR(SUM(VLOOKUP(B17,'[1]Mar1 Payroll'!$B$9:$EK$68,{133,137,140,141,144,146,147,148},FALSE)),)&lt;90000,0,0)),0)</f>
        <v>0</v>
      </c>
      <c r="ET17" s="83">
        <f>IFERROR(BW17+IFERROR(VLOOKUP(B17,'[1]Mar1 Payroll'!$B$9:$FJ$68,134,FALSE),),0)</f>
        <v>0</v>
      </c>
      <c r="EU17" s="83">
        <f>IFERROR(BU17+IFERROR(VLOOKUP(B17,'[1]Mar1 Payroll'!$B$9:$FJ$68,135,FALSE),),0)</f>
        <v>0</v>
      </c>
      <c r="EV17" s="83">
        <f>IFERROR(BV17+IFERROR(VLOOKUP(B17,'[1]Mar1 Payroll'!$B$9:$FJ$68,136,FALSE),),0)</f>
        <v>0</v>
      </c>
      <c r="EW17" s="83">
        <f t="array" ref="EW17">IFERROR(IF(BX17+CB17+CD17+CE17+CF17+EN17+IFERROR(SUM(VLOOKUP(B17,'[1]Mar1 Payroll'!$B$9:$FJ$68,{133,137,140,141,144,146,147,148},FALSE)),)&gt;90000,BX17+IFERROR(SUM(VLOOKUP(B17,'[1]Mar1 Payroll'!$B$9:$FJ$68,{137,147},FALSE)),),IF(BX17+CB17+CD17+CE17+CF17+EN17+IFERROR(SUM(VLOOKUP(B17,'[1]Mar1 Payroll'!$B$9:$EK$68,{133,137,140,141,144,146,147,148},FALSE)),)&lt;90000,0,0)),0)</f>
        <v>0</v>
      </c>
      <c r="EX17" s="83">
        <f>IFERROR(BY17+IFERROR(VLOOKUP(B17,'[1]Mar1 Payroll'!$B$9:$FJ$68,138,FALSE),),0)</f>
        <v>0</v>
      </c>
      <c r="EY17" s="83">
        <f>IFERROR(BZ17+IFERROR(VLOOKUP(B17,'[1]Mar1 Payroll'!$B$9:$FJ$68,139,FALSE),),0)</f>
        <v>0</v>
      </c>
      <c r="EZ17" s="83">
        <f t="array" ref="EZ17">IFERROR(IF(BX17+CB17+CD17+CE17+CF17+EN17+IFERROR(SUM(VLOOKUP(B17,'[1]Mar1 Payroll'!$B$9:$FJ$68,{133,137,140,141,144,146,147,148},FALSE)),)&gt;90000,CB17+IFERROR(SUM(VLOOKUP(B17,'[1]Mar1 Payroll'!$B$9:$FJ$68,{140,146},FALSE)),),IF(BX17+CB17+CD17+CE17+CF17+EN17+IFERROR(SUM(VLOOKUP(B17,'[1]Mar1 Payroll'!$B$9:$EK$68,{133,137,140,141,144,146,147,148},FALSE)),)&lt;90000,0,0)),0)</f>
        <v>0</v>
      </c>
      <c r="FA17" s="83">
        <f t="array" ref="FA17">IFERROR(IF(BX17+CB17+CD17+CE17+CF17+EN17+IFERROR(SUM(VLOOKUP(B17,'[1]Mar1 Payroll'!$B$9:$FJ$68,{133,137,140,141,144,146,147,148},FALSE)),)&gt;90000,CD17+CE17+CF17+IFERROR(SUM(VLOOKUP(B17,'[1]Mar1 Payroll'!$B$9:$FJ$68,{141,148},FALSE)),),IF(BX17+CB17+CD17+CE17+CF17+EN17+IFERROR(SUM(VLOOKUP(B17,'[1]Mar1 Payroll'!$B$9:$EK$68,{133,137,140,141,144,146,147,148},FALSE)),)&lt;90000,0,0)),0)</f>
        <v>0</v>
      </c>
      <c r="FB17" s="83">
        <f t="shared" si="60"/>
        <v>0</v>
      </c>
      <c r="FC17" s="83">
        <f t="shared" si="61"/>
        <v>0</v>
      </c>
      <c r="FD17" s="83">
        <f t="array" ref="FD17">IFERROR(IF(BX17+CB17+CD17+CE17+CF17+EN17+IFERROR(SUM(VLOOKUP(B17,'[1]Mar1 Payroll'!$B$9:$FJ$68,{133,137,140,141,144,146,147,148},FALSE)),)&gt;90000,0,IF(BX17+CB17+CD17+CE17+CF17+EN17+IFERROR(SUM(VLOOKUP(B17,'[1]Mar1 Payroll'!$B$9:$EK$68,{133,137,140,141,144,146,147,148},FALSE)),)&lt;90000,EN17+IFERROR(SUM(VLOOKUP(B17,'[1]Mar1 Payroll'!$B$9:$FJ$68,{133,144},FALSE)),),)),)</f>
        <v>458.33333333333331</v>
      </c>
      <c r="FE17" s="83">
        <f>IFERROR(CC17+IFERROR(VLOOKUP(B17,'[1]Mar1 Payroll'!$B$9:$FJ$68,145,FALSE),),0)</f>
        <v>0</v>
      </c>
      <c r="FF17" s="83">
        <f t="array" ref="FF17">IFERROR(IF(BX17+CB17+CD17+CE17+CF17+EN17+IFERROR(SUM(VLOOKUP(B17,'[1]Mar1 Payroll'!$B$9:$FJ$68,{133,137,140,141,144,146,147,148},FALSE)),)&gt;90000,0,IF(BX17+CB17+CD17+CE17+CF17+EN17+IFERROR(SUM(VLOOKUP(B17,'[1]Mar1 Payroll'!$B$9:$EK$68,{133,137,140,141,144,146,147,148},FALSE)),)&lt;90000,CB17+IFERROR(SUM(VLOOKUP(B17,'[1]Mar1 Payroll'!$B$9:$FJ$68,{140,146},FALSE)),))),0)</f>
        <v>0</v>
      </c>
      <c r="FG17" s="83">
        <f t="array" ref="FG17">IFERROR(IF(BX17+CB17+CD17+CE17+CF17+EN17+IFERROR(SUM(VLOOKUP(B17,'[1]Mar1 Payroll'!$B$9:$FJ$68,{133,137,140,141,144,146,147,148},FALSE)),)&gt;90000,0,IF(BX17+CB17+CD17+CE17+CF17+EN17+IFERROR(SUM(VLOOKUP(B17,'[1]Mar1 Payroll'!$B$9:$EK$68,{133,137,140,141,144,146,147,148},FALSE)),)&lt;90000,BX17+IFERROR(SUM(VLOOKUP(B17,'[1]Mar1 Payroll'!$B$9:$FJ$68,{137,147},FALSE)),))),0)</f>
        <v>0</v>
      </c>
      <c r="FH17" s="83">
        <f t="array" ref="FH17">IFERROR(IF(BX17+CB17+CD17+CE17+CF17+EN17+IFERROR(SUM(VLOOKUP(B17,'[1]Mar1 Payroll'!$B$9:$FJ$68,{133,137,140,141,144,146,147,148},FALSE)),)&gt;90000,0,IF(BX17+CB17+CD17+CE17+CF17+EN17+IFERROR(SUM(VLOOKUP(B17,'[1]Mar1 Payroll'!$B$9:$EK$68,{133,137,140,141,144,146,147,148},FALSE)),)&lt;90000,CD17+CE17+CF17+IFERROR(SUM(VLOOKUP(B17,'[1]Mar1 Payroll'!$B$9:$FJ$68,{141,148},FALSE)),))),0)</f>
        <v>0</v>
      </c>
      <c r="FI17" s="83">
        <f t="shared" si="62"/>
        <v>0</v>
      </c>
      <c r="FJ17" s="83">
        <f t="shared" si="63"/>
        <v>10140.625</v>
      </c>
      <c r="FK17" s="83">
        <f>IFERROR(EJ17+EK17+EL17+IFERROR(VLOOKUP(B17,'[1]Mar1 Payroll'!$B$9:$FJ$68,151,FALSE),),0)</f>
        <v>0</v>
      </c>
      <c r="FL17" s="83">
        <f>IFERROR(CY17+IFERROR(VLOOKUP(B17,'[1]Mar1 Payroll'!$B$9:$FJ$68,152,FALSE),),0)</f>
        <v>10</v>
      </c>
      <c r="FM17" s="83">
        <f>IFERROR(DA17+DB17+IFERROR(VLOOKUP(B17,'[1]Mar1 Payroll'!$B$9:$FJ$68,153,FALSE),),0)</f>
        <v>520</v>
      </c>
      <c r="FN17" s="83">
        <f>IFERROR(DD17+DE17+IFERROR(VLOOKUP(B17,'[1]Mar1 Payroll'!$B$9:$FJ$68,154,FALSE),),0)</f>
        <v>200</v>
      </c>
      <c r="FO17" s="83">
        <f>IFERROR(CO17+IFERROR(VLOOKUP(B17,'[1]Mar1 Payroll'!$B$9:$FJ$68,155,FALSE),),0)</f>
        <v>-1000</v>
      </c>
      <c r="FP17" s="83">
        <f>IFERROR(DZ17+EA17+EF17+IFERROR(VLOOKUP(B17,'[1]Mar1 Payroll'!$B$9:$FJ$68,156,FALSE),),0)</f>
        <v>644</v>
      </c>
      <c r="FQ17" s="83">
        <f>IFERROR(DH17+IFERROR(VLOOKUP(B17,'[1]Mar1 Payroll'!$B$9:$FJ$68,157,FALSE),),0)</f>
        <v>0</v>
      </c>
      <c r="FR17" s="83">
        <f>IFERROR(DI17+IFERROR(VLOOKUP(B17,'[1]Mar1 Payroll'!$B$9:$FJ$68,158,FALSE),),0)</f>
        <v>0</v>
      </c>
      <c r="FS17" s="83">
        <f>IFERROR(DK17+IFERROR(VLOOKUP(B17,'[1]Mar1 Payroll'!$B$9:$FJ$68,159,FALSE),),0)</f>
        <v>0</v>
      </c>
      <c r="FT17" s="83">
        <f>IFERROR(DM17+IFERROR(VLOOKUP(B17,'[1]Mar1 Payroll'!$B$9:$FJ$68,160,FALSE),),0)</f>
        <v>0</v>
      </c>
      <c r="FU17" s="83">
        <f>IFERROR(DN17+IFERROR(VLOOKUP(B17,'[1]Mar1 Payroll'!$B$9:$FJ$68,161,FALSE),),0)</f>
        <v>0</v>
      </c>
      <c r="FV17" s="83">
        <f>IFERROR(DO17+IFERROR(VLOOKUP(B17,'[1]Mar1 Payroll'!$B$9:$FJ$68,162,FALSE),),0)</f>
        <v>0</v>
      </c>
      <c r="FW17" s="83">
        <f>IFERROR(DP17+IFERROR(VLOOKUP(B17,'[1]Mar1 Payroll'!$B$9:$FJ$68,163,FALSE),),0)</f>
        <v>0</v>
      </c>
      <c r="FX17" s="83">
        <f t="shared" si="64"/>
        <v>374</v>
      </c>
      <c r="FY17" s="84">
        <f t="shared" si="65"/>
        <v>10514.625</v>
      </c>
      <c r="FZ17" s="85"/>
      <c r="GA17" s="105"/>
      <c r="GB17" s="86">
        <f t="shared" si="66"/>
        <v>6500</v>
      </c>
      <c r="GC17" s="83">
        <f t="shared" si="67"/>
        <v>3640.625</v>
      </c>
      <c r="GD17" s="83">
        <f t="shared" si="68"/>
        <v>0</v>
      </c>
      <c r="GE17" s="83">
        <f t="shared" si="69"/>
        <v>0</v>
      </c>
      <c r="GF17" s="83">
        <f t="shared" si="70"/>
        <v>0</v>
      </c>
      <c r="GG17" s="83">
        <f t="shared" si="71"/>
        <v>0</v>
      </c>
      <c r="GH17" s="83">
        <f t="shared" si="72"/>
        <v>0</v>
      </c>
      <c r="GI17" s="83">
        <f t="shared" si="73"/>
        <v>0</v>
      </c>
      <c r="GJ17" s="83">
        <f t="shared" si="74"/>
        <v>0</v>
      </c>
      <c r="GK17" s="83">
        <f t="shared" si="75"/>
        <v>0</v>
      </c>
      <c r="GL17" s="83">
        <f t="shared" si="76"/>
        <v>0</v>
      </c>
      <c r="GM17" s="83">
        <f t="shared" si="77"/>
        <v>0</v>
      </c>
      <c r="GN17" s="83">
        <f t="shared" si="78"/>
        <v>0</v>
      </c>
      <c r="GO17" s="83">
        <f t="shared" si="79"/>
        <v>458.33333333333331</v>
      </c>
      <c r="GP17" s="83">
        <f t="shared" si="80"/>
        <v>0</v>
      </c>
      <c r="GQ17" s="83">
        <f t="shared" si="81"/>
        <v>0</v>
      </c>
      <c r="GR17" s="83">
        <f t="shared" si="82"/>
        <v>0</v>
      </c>
      <c r="GS17" s="83">
        <f t="shared" si="83"/>
        <v>0</v>
      </c>
      <c r="GT17" s="83">
        <f t="shared" si="84"/>
        <v>0</v>
      </c>
      <c r="GU17" s="83">
        <f t="shared" si="85"/>
        <v>10140.625</v>
      </c>
      <c r="GV17" s="83">
        <f t="shared" si="86"/>
        <v>0</v>
      </c>
      <c r="GW17" s="83">
        <f t="shared" si="87"/>
        <v>10</v>
      </c>
      <c r="GX17" s="83">
        <f t="shared" si="88"/>
        <v>520</v>
      </c>
      <c r="GY17" s="83">
        <f t="shared" si="89"/>
        <v>200</v>
      </c>
      <c r="GZ17" s="83">
        <f t="shared" si="90"/>
        <v>-1000</v>
      </c>
      <c r="HA17" s="83">
        <f t="shared" si="91"/>
        <v>644</v>
      </c>
      <c r="HB17" s="83">
        <f t="shared" si="92"/>
        <v>0</v>
      </c>
      <c r="HC17" s="83">
        <f t="shared" si="93"/>
        <v>0</v>
      </c>
      <c r="HD17" s="83">
        <f t="shared" si="94"/>
        <v>0</v>
      </c>
      <c r="HE17" s="83">
        <f t="shared" si="95"/>
        <v>0</v>
      </c>
      <c r="HF17" s="83">
        <f t="shared" si="96"/>
        <v>0</v>
      </c>
      <c r="HG17" s="83">
        <f t="shared" si="97"/>
        <v>0</v>
      </c>
      <c r="HH17" s="83">
        <f t="shared" si="98"/>
        <v>0</v>
      </c>
      <c r="HI17" s="83">
        <f t="shared" si="99"/>
        <v>374</v>
      </c>
      <c r="HJ17" s="87">
        <f t="shared" si="100"/>
        <v>10514.625</v>
      </c>
      <c r="HK17" s="105" t="s">
        <v>172</v>
      </c>
      <c r="HL17" s="88">
        <f t="shared" si="101"/>
        <v>7873.625</v>
      </c>
      <c r="HM17" s="88">
        <f t="shared" si="102"/>
        <v>0</v>
      </c>
      <c r="HN17" s="88"/>
      <c r="HO17" s="89">
        <v>7</v>
      </c>
      <c r="HP17" s="91">
        <f t="shared" si="103"/>
        <v>5500</v>
      </c>
      <c r="HQ17" s="91">
        <f t="shared" si="104"/>
        <v>8818.625</v>
      </c>
      <c r="HR17" s="91">
        <f t="shared" si="105"/>
        <v>-945</v>
      </c>
      <c r="HS17" s="91"/>
      <c r="HT17" s="91"/>
      <c r="HU17" s="91"/>
      <c r="HV17" s="91"/>
      <c r="HW17" s="91"/>
      <c r="HX17" s="91"/>
    </row>
    <row r="18" spans="1:233" s="97" customFormat="1" ht="17.25" customHeight="1" thickBot="1" x14ac:dyDescent="0.3">
      <c r="A18" s="217" t="s">
        <v>223</v>
      </c>
      <c r="B18" s="242" t="s">
        <v>231</v>
      </c>
      <c r="C18" s="169" t="s">
        <v>187</v>
      </c>
      <c r="D18" s="183"/>
      <c r="E18" s="169" t="s">
        <v>190</v>
      </c>
      <c r="F18" s="170" t="s">
        <v>194</v>
      </c>
      <c r="G18" s="171" t="s">
        <v>170</v>
      </c>
      <c r="H18" s="223">
        <v>13000</v>
      </c>
      <c r="I18" s="172">
        <f t="shared" si="0"/>
        <v>0</v>
      </c>
      <c r="J18" s="175">
        <v>13</v>
      </c>
      <c r="K18" s="251">
        <v>12</v>
      </c>
      <c r="L18" s="180">
        <f t="shared" si="1"/>
        <v>500</v>
      </c>
      <c r="M18" s="180">
        <f t="shared" si="2"/>
        <v>62.5</v>
      </c>
      <c r="N18" s="180">
        <f t="shared" si="3"/>
        <v>1.0416666666666667</v>
      </c>
      <c r="O18" s="174">
        <f t="shared" si="4"/>
        <v>6500</v>
      </c>
      <c r="P18" s="251">
        <v>32</v>
      </c>
      <c r="Q18" s="174">
        <f t="shared" si="5"/>
        <v>2500</v>
      </c>
      <c r="R18" s="175"/>
      <c r="S18" s="174">
        <f t="shared" si="107"/>
        <v>0</v>
      </c>
      <c r="T18" s="171"/>
      <c r="U18" s="174">
        <f t="shared" si="6"/>
        <v>0</v>
      </c>
      <c r="V18" s="173">
        <f t="shared" si="7"/>
        <v>0</v>
      </c>
      <c r="W18" s="173">
        <f t="shared" si="8"/>
        <v>0</v>
      </c>
      <c r="X18" s="171"/>
      <c r="Y18" s="174">
        <f t="shared" si="9"/>
        <v>0</v>
      </c>
      <c r="Z18" s="171"/>
      <c r="AA18" s="174">
        <f t="shared" si="10"/>
        <v>0</v>
      </c>
      <c r="AB18" s="171"/>
      <c r="AC18" s="174">
        <f t="shared" si="11"/>
        <v>0</v>
      </c>
      <c r="AD18" s="171"/>
      <c r="AE18" s="174">
        <f t="shared" si="12"/>
        <v>0</v>
      </c>
      <c r="AF18" s="175"/>
      <c r="AG18" s="174">
        <f t="shared" si="13"/>
        <v>0</v>
      </c>
      <c r="AH18" s="171"/>
      <c r="AI18" s="174">
        <f t="shared" si="14"/>
        <v>0</v>
      </c>
      <c r="AJ18" s="171"/>
      <c r="AK18" s="174">
        <f t="shared" si="15"/>
        <v>0</v>
      </c>
      <c r="AL18" s="171"/>
      <c r="AM18" s="174">
        <f t="shared" si="16"/>
        <v>0</v>
      </c>
      <c r="AN18" s="173">
        <f t="shared" si="17"/>
        <v>0</v>
      </c>
      <c r="AO18" s="173">
        <f t="shared" si="18"/>
        <v>0</v>
      </c>
      <c r="AP18" s="171">
        <v>31</v>
      </c>
      <c r="AQ18" s="174">
        <f t="shared" si="19"/>
        <v>193.75</v>
      </c>
      <c r="AR18" s="171">
        <v>16</v>
      </c>
      <c r="AS18" s="174">
        <f t="shared" si="20"/>
        <v>125</v>
      </c>
      <c r="AT18" s="171"/>
      <c r="AU18" s="174">
        <f t="shared" si="21"/>
        <v>0</v>
      </c>
      <c r="AV18" s="171"/>
      <c r="AW18" s="228">
        <f t="shared" si="22"/>
        <v>0</v>
      </c>
      <c r="AX18" s="171"/>
      <c r="AY18" s="174">
        <f t="shared" si="23"/>
        <v>0</v>
      </c>
      <c r="AZ18" s="171"/>
      <c r="BA18" s="174">
        <f t="shared" si="24"/>
        <v>0</v>
      </c>
      <c r="BB18" s="171"/>
      <c r="BC18" s="174">
        <f t="shared" si="25"/>
        <v>0</v>
      </c>
      <c r="BD18" s="171"/>
      <c r="BE18" s="174">
        <f t="shared" si="26"/>
        <v>0</v>
      </c>
      <c r="BF18" s="171"/>
      <c r="BG18" s="174">
        <f t="shared" si="27"/>
        <v>0</v>
      </c>
      <c r="BH18" s="171"/>
      <c r="BI18" s="174">
        <f t="shared" si="28"/>
        <v>0</v>
      </c>
      <c r="BJ18" s="176">
        <f t="shared" si="29"/>
        <v>47</v>
      </c>
      <c r="BK18" s="173">
        <f t="shared" si="30"/>
        <v>318.75</v>
      </c>
      <c r="BL18" s="171"/>
      <c r="BM18" s="174"/>
      <c r="BN18" s="174"/>
      <c r="BO18" s="171"/>
      <c r="BP18" s="171"/>
      <c r="BQ18" s="171"/>
      <c r="BR18" s="171"/>
      <c r="BS18" s="174">
        <f t="shared" si="31"/>
        <v>0</v>
      </c>
      <c r="BT18" s="174">
        <f t="shared" si="32"/>
        <v>0</v>
      </c>
      <c r="BU18" s="173">
        <f t="shared" si="33"/>
        <v>0</v>
      </c>
      <c r="BV18" s="173">
        <f t="shared" si="34"/>
        <v>0</v>
      </c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4">
        <f t="shared" si="35"/>
        <v>0</v>
      </c>
      <c r="CI18" s="175">
        <v>300</v>
      </c>
      <c r="CJ18" s="174">
        <f t="shared" si="36"/>
        <v>-312.5</v>
      </c>
      <c r="CK18" s="175">
        <v>60</v>
      </c>
      <c r="CL18" s="174">
        <f t="shared" si="37"/>
        <v>-62.500000000000007</v>
      </c>
      <c r="CM18" s="171">
        <f t="shared" si="38"/>
        <v>1</v>
      </c>
      <c r="CN18" s="177">
        <f t="shared" si="39"/>
        <v>-500</v>
      </c>
      <c r="CO18" s="173">
        <f t="shared" si="40"/>
        <v>-875</v>
      </c>
      <c r="CP18" s="176">
        <f t="shared" si="41"/>
        <v>8443.75</v>
      </c>
      <c r="CQ18" s="187" t="str">
        <f>_xlfn.IFNA(VLOOKUP(B18,'[1]201'!$E$7:$H$66,2,FALSE),"")</f>
        <v/>
      </c>
      <c r="CR18" s="187" t="str">
        <f>_xlfn.IFNA(VLOOKUP(B18,'[1]201'!$E$7:$H$66,3,FALSE),"")</f>
        <v/>
      </c>
      <c r="CS18" s="187" t="str">
        <f>_xlfn.IFNA(VLOOKUP(B18,'[1]201'!$E$7:$H$66,4,FALSE),"")</f>
        <v/>
      </c>
      <c r="CT18" s="179"/>
      <c r="CU18" s="179"/>
      <c r="CV18" s="179"/>
      <c r="CW18" s="180">
        <v>585</v>
      </c>
      <c r="CX18" s="181">
        <v>1235</v>
      </c>
      <c r="CY18" s="182">
        <v>10</v>
      </c>
      <c r="CZ18" s="176">
        <f t="shared" si="42"/>
        <v>1830</v>
      </c>
      <c r="DA18" s="181">
        <f t="shared" si="43"/>
        <v>260</v>
      </c>
      <c r="DB18" s="182">
        <f t="shared" si="44"/>
        <v>260</v>
      </c>
      <c r="DC18" s="176">
        <f t="shared" si="45"/>
        <v>520</v>
      </c>
      <c r="DD18" s="181">
        <v>100</v>
      </c>
      <c r="DE18" s="182">
        <v>100</v>
      </c>
      <c r="DF18" s="176">
        <f t="shared" si="46"/>
        <v>200</v>
      </c>
      <c r="DG18" s="176">
        <f t="shared" si="106"/>
        <v>945</v>
      </c>
      <c r="DH18" s="183"/>
      <c r="DI18" s="183"/>
      <c r="DJ18" s="183"/>
      <c r="DK18" s="183"/>
      <c r="DL18" s="176">
        <f t="shared" si="47"/>
        <v>0</v>
      </c>
      <c r="DM18" s="183"/>
      <c r="DN18" s="183"/>
      <c r="DO18" s="183"/>
      <c r="DP18" s="183"/>
      <c r="DQ18" s="172">
        <f t="shared" si="48"/>
        <v>0</v>
      </c>
      <c r="DR18" s="179"/>
      <c r="DS18" s="179"/>
      <c r="DT18" s="175"/>
      <c r="DU18" s="179"/>
      <c r="DV18" s="179"/>
      <c r="DW18" s="220"/>
      <c r="DX18" s="218"/>
      <c r="DY18" s="173">
        <f t="shared" si="49"/>
        <v>0</v>
      </c>
      <c r="DZ18" s="179">
        <v>410.32</v>
      </c>
      <c r="EA18" s="215">
        <v>0</v>
      </c>
      <c r="EB18" s="215"/>
      <c r="EC18" s="215"/>
      <c r="ED18" s="179"/>
      <c r="EE18" s="184"/>
      <c r="EF18" s="185">
        <f t="shared" si="50"/>
        <v>410.32</v>
      </c>
      <c r="EG18" s="176">
        <f t="shared" si="51"/>
        <v>1355.32</v>
      </c>
      <c r="EH18" s="176">
        <f t="shared" si="52"/>
        <v>7088.43</v>
      </c>
      <c r="EI18" s="176">
        <f t="shared" si="53"/>
        <v>10263.75</v>
      </c>
      <c r="EJ18" s="176">
        <f t="shared" si="54"/>
        <v>0</v>
      </c>
      <c r="EK18" s="176">
        <f t="shared" si="55"/>
        <v>0</v>
      </c>
      <c r="EL18" s="176">
        <f t="shared" si="56"/>
        <v>0</v>
      </c>
      <c r="EM18" s="176">
        <f t="shared" si="57"/>
        <v>7088.43</v>
      </c>
      <c r="EN18" s="172">
        <f t="shared" si="58"/>
        <v>468.75</v>
      </c>
      <c r="EO18" s="234" t="s">
        <v>223</v>
      </c>
      <c r="EP18" s="214">
        <f t="shared" si="59"/>
        <v>468.75</v>
      </c>
      <c r="EQ18" s="83">
        <f>IFERROR(O18+IFERROR(VLOOKUP(B18,'[1]Mar1 Payroll'!$B$9:$FJ$68,131,FALSE),),0)</f>
        <v>6500</v>
      </c>
      <c r="ER18" s="83">
        <f>IFERROR(Q18+W18+AO18+BK18+BL18+IFERROR(VLOOKUP(B18,'[1]Mar1 Payroll'!$B$9:$FJ$68,132,FALSE),),)</f>
        <v>2818.75</v>
      </c>
      <c r="ES18" s="83">
        <f t="array" ref="ES18">IFERROR(IF(BX18+CB18+CD18+CE18+CF18+EN18+IFERROR(SUM(VLOOKUP(B18,'[1]Mar1 Payroll'!$B$9:$FJ$68,{133,137,140,141,144,146,147,148},FALSE)),)&gt;90000,EN18+IFERROR(SUM(VLOOKUP(B18,'[1]Mar1 Payroll'!$B$9:$FJ$68,{133,144},FALSE)),),IF(BX18+CB18+CD18+CE18+CF18+EN18+IFERROR(SUM(VLOOKUP(B18,'[1]Mar1 Payroll'!$B$9:$EK$68,{133,137,140,141,144,146,147,148},FALSE)),)&lt;90000,0,0)),0)</f>
        <v>0</v>
      </c>
      <c r="ET18" s="83">
        <f>IFERROR(BW18+IFERROR(VLOOKUP(B18,'[1]Mar1 Payroll'!$B$9:$FJ$68,134,FALSE),),0)</f>
        <v>0</v>
      </c>
      <c r="EU18" s="83">
        <f>IFERROR(BU18+IFERROR(VLOOKUP(B18,'[1]Mar1 Payroll'!$B$9:$FJ$68,135,FALSE),),0)</f>
        <v>0</v>
      </c>
      <c r="EV18" s="83">
        <f>IFERROR(BV18+IFERROR(VLOOKUP(B18,'[1]Mar1 Payroll'!$B$9:$FJ$68,136,FALSE),),0)</f>
        <v>0</v>
      </c>
      <c r="EW18" s="83">
        <f t="array" ref="EW18">IFERROR(IF(BX18+CB18+CD18+CE18+CF18+EN18+IFERROR(SUM(VLOOKUP(B18,'[1]Mar1 Payroll'!$B$9:$FJ$68,{133,137,140,141,144,146,147,148},FALSE)),)&gt;90000,BX18+IFERROR(SUM(VLOOKUP(B18,'[1]Mar1 Payroll'!$B$9:$FJ$68,{137,147},FALSE)),),IF(BX18+CB18+CD18+CE18+CF18+EN18+IFERROR(SUM(VLOOKUP(B18,'[1]Mar1 Payroll'!$B$9:$EK$68,{133,137,140,141,144,146,147,148},FALSE)),)&lt;90000,0,0)),0)</f>
        <v>0</v>
      </c>
      <c r="EX18" s="83">
        <f>IFERROR(BY18+IFERROR(VLOOKUP(B18,'[1]Mar1 Payroll'!$B$9:$FJ$68,138,FALSE),),0)</f>
        <v>0</v>
      </c>
      <c r="EY18" s="83">
        <f>IFERROR(BZ18+IFERROR(VLOOKUP(B18,'[1]Mar1 Payroll'!$B$9:$FJ$68,139,FALSE),),0)</f>
        <v>0</v>
      </c>
      <c r="EZ18" s="83">
        <f t="array" ref="EZ18">IFERROR(IF(BX18+CB18+CD18+CE18+CF18+EN18+IFERROR(SUM(VLOOKUP(B18,'[1]Mar1 Payroll'!$B$9:$FJ$68,{133,137,140,141,144,146,147,148},FALSE)),)&gt;90000,CB18+IFERROR(SUM(VLOOKUP(B18,'[1]Mar1 Payroll'!$B$9:$FJ$68,{140,146},FALSE)),),IF(BX18+CB18+CD18+CE18+CF18+EN18+IFERROR(SUM(VLOOKUP(B18,'[1]Mar1 Payroll'!$B$9:$EK$68,{133,137,140,141,144,146,147,148},FALSE)),)&lt;90000,0,0)),0)</f>
        <v>0</v>
      </c>
      <c r="FA18" s="83">
        <f t="array" ref="FA18">IFERROR(IF(BX18+CB18+CD18+CE18+CF18+EN18+IFERROR(SUM(VLOOKUP(B18,'[1]Mar1 Payroll'!$B$9:$FJ$68,{133,137,140,141,144,146,147,148},FALSE)),)&gt;90000,CD18+CE18+CF18+IFERROR(SUM(VLOOKUP(B18,'[1]Mar1 Payroll'!$B$9:$FJ$68,{141,148},FALSE)),),IF(BX18+CB18+CD18+CE18+CF18+EN18+IFERROR(SUM(VLOOKUP(B18,'[1]Mar1 Payroll'!$B$9:$EK$68,{133,137,140,141,144,146,147,148},FALSE)),)&lt;90000,0,0)),0)</f>
        <v>0</v>
      </c>
      <c r="FB18" s="83">
        <f t="shared" si="60"/>
        <v>0</v>
      </c>
      <c r="FC18" s="83">
        <f t="shared" si="61"/>
        <v>0</v>
      </c>
      <c r="FD18" s="83">
        <f t="array" ref="FD18">IFERROR(IF(BX18+CB18+CD18+CE18+CF18+EN18+IFERROR(SUM(VLOOKUP(B18,'[1]Mar1 Payroll'!$B$9:$FJ$68,{133,137,140,141,144,146,147,148},FALSE)),)&gt;90000,0,IF(BX18+CB18+CD18+CE18+CF18+EN18+IFERROR(SUM(VLOOKUP(B18,'[1]Mar1 Payroll'!$B$9:$EK$68,{133,137,140,141,144,146,147,148},FALSE)),)&lt;90000,EN18+IFERROR(SUM(VLOOKUP(B18,'[1]Mar1 Payroll'!$B$9:$FJ$68,{133,144},FALSE)),),)),)</f>
        <v>468.75</v>
      </c>
      <c r="FE18" s="83">
        <f>IFERROR(CC18+IFERROR(VLOOKUP(B18,'[1]Mar1 Payroll'!$B$9:$FJ$68,145,FALSE),),0)</f>
        <v>0</v>
      </c>
      <c r="FF18" s="83">
        <f t="array" ref="FF18">IFERROR(IF(BX18+CB18+CD18+CE18+CF18+EN18+IFERROR(SUM(VLOOKUP(B18,'[1]Mar1 Payroll'!$B$9:$FJ$68,{133,137,140,141,144,146,147,148},FALSE)),)&gt;90000,0,IF(BX18+CB18+CD18+CE18+CF18+EN18+IFERROR(SUM(VLOOKUP(B18,'[1]Mar1 Payroll'!$B$9:$EK$68,{133,137,140,141,144,146,147,148},FALSE)),)&lt;90000,CB18+IFERROR(SUM(VLOOKUP(B18,'[1]Mar1 Payroll'!$B$9:$FJ$68,{140,146},FALSE)),))),0)</f>
        <v>0</v>
      </c>
      <c r="FG18" s="83">
        <f t="array" ref="FG18">IFERROR(IF(BX18+CB18+CD18+CE18+CF18+EN18+IFERROR(SUM(VLOOKUP(B18,'[1]Mar1 Payroll'!$B$9:$FJ$68,{133,137,140,141,144,146,147,148},FALSE)),)&gt;90000,0,IF(BX18+CB18+CD18+CE18+CF18+EN18+IFERROR(SUM(VLOOKUP(B18,'[1]Mar1 Payroll'!$B$9:$EK$68,{133,137,140,141,144,146,147,148},FALSE)),)&lt;90000,BX18+IFERROR(SUM(VLOOKUP(B18,'[1]Mar1 Payroll'!$B$9:$FJ$68,{137,147},FALSE)),))),0)</f>
        <v>0</v>
      </c>
      <c r="FH18" s="83">
        <f t="array" ref="FH18">IFERROR(IF(BX18+CB18+CD18+CE18+CF18+EN18+IFERROR(SUM(VLOOKUP(B18,'[1]Mar1 Payroll'!$B$9:$FJ$68,{133,137,140,141,144,146,147,148},FALSE)),)&gt;90000,0,IF(BX18+CB18+CD18+CE18+CF18+EN18+IFERROR(SUM(VLOOKUP(B18,'[1]Mar1 Payroll'!$B$9:$EK$68,{133,137,140,141,144,146,147,148},FALSE)),)&lt;90000,CD18+CE18+CF18+IFERROR(SUM(VLOOKUP(B18,'[1]Mar1 Payroll'!$B$9:$FJ$68,{141,148},FALSE)),))),0)</f>
        <v>0</v>
      </c>
      <c r="FI18" s="83">
        <f t="shared" si="62"/>
        <v>0</v>
      </c>
      <c r="FJ18" s="83">
        <f t="shared" si="63"/>
        <v>9318.75</v>
      </c>
      <c r="FK18" s="83">
        <f>IFERROR(EJ18+EK18+EL18+IFERROR(VLOOKUP(B18,'[1]Mar1 Payroll'!$B$9:$FJ$68,151,FALSE),),0)</f>
        <v>0</v>
      </c>
      <c r="FL18" s="83">
        <f>IFERROR(CY18+IFERROR(VLOOKUP(B18,'[1]Mar1 Payroll'!$B$9:$FJ$68,152,FALSE),),0)</f>
        <v>10</v>
      </c>
      <c r="FM18" s="83">
        <f>IFERROR(DA18+DB18+IFERROR(VLOOKUP(B18,'[1]Mar1 Payroll'!$B$9:$FJ$68,153,FALSE),),0)</f>
        <v>520</v>
      </c>
      <c r="FN18" s="83">
        <f>IFERROR(DD18+DE18+IFERROR(VLOOKUP(B18,'[1]Mar1 Payroll'!$B$9:$FJ$68,154,FALSE),),0)</f>
        <v>200</v>
      </c>
      <c r="FO18" s="83">
        <f>IFERROR(CO18+IFERROR(VLOOKUP(B18,'[1]Mar1 Payroll'!$B$9:$FJ$68,155,FALSE),),0)</f>
        <v>-875</v>
      </c>
      <c r="FP18" s="83">
        <f>IFERROR(DZ18+EA18+EF18+IFERROR(VLOOKUP(B18,'[1]Mar1 Payroll'!$B$9:$FJ$68,156,FALSE),),0)</f>
        <v>820.64</v>
      </c>
      <c r="FQ18" s="83">
        <f>IFERROR(DH18+IFERROR(VLOOKUP(B18,'[1]Mar1 Payroll'!$B$9:$FJ$68,157,FALSE),),0)</f>
        <v>0</v>
      </c>
      <c r="FR18" s="83">
        <f>IFERROR(DI18+IFERROR(VLOOKUP(B18,'[1]Mar1 Payroll'!$B$9:$FJ$68,158,FALSE),),0)</f>
        <v>0</v>
      </c>
      <c r="FS18" s="83">
        <f>IFERROR(DK18+IFERROR(VLOOKUP(B18,'[1]Mar1 Payroll'!$B$9:$FJ$68,159,FALSE),),0)</f>
        <v>0</v>
      </c>
      <c r="FT18" s="83">
        <f>IFERROR(DM18+IFERROR(VLOOKUP(B18,'[1]Mar1 Payroll'!$B$9:$FJ$68,160,FALSE),),0)</f>
        <v>0</v>
      </c>
      <c r="FU18" s="83">
        <f>IFERROR(DN18+IFERROR(VLOOKUP(B18,'[1]Mar1 Payroll'!$B$9:$FJ$68,161,FALSE),),0)</f>
        <v>0</v>
      </c>
      <c r="FV18" s="83">
        <f>IFERROR(DO18+IFERROR(VLOOKUP(B18,'[1]Mar1 Payroll'!$B$9:$FJ$68,162,FALSE),),0)</f>
        <v>0</v>
      </c>
      <c r="FW18" s="83">
        <f>IFERROR(DP18+IFERROR(VLOOKUP(B18,'[1]Mar1 Payroll'!$B$9:$FJ$68,163,FALSE),),0)</f>
        <v>0</v>
      </c>
      <c r="FX18" s="83">
        <f t="shared" si="64"/>
        <v>675.64</v>
      </c>
      <c r="FY18" s="84">
        <f t="shared" si="65"/>
        <v>9994.39</v>
      </c>
      <c r="FZ18" s="85"/>
      <c r="GA18" s="105"/>
      <c r="GB18" s="86">
        <f t="shared" si="66"/>
        <v>6500</v>
      </c>
      <c r="GC18" s="83">
        <f t="shared" si="67"/>
        <v>2818.75</v>
      </c>
      <c r="GD18" s="83">
        <f t="shared" si="68"/>
        <v>0</v>
      </c>
      <c r="GE18" s="83">
        <f t="shared" si="69"/>
        <v>0</v>
      </c>
      <c r="GF18" s="83">
        <f t="shared" si="70"/>
        <v>0</v>
      </c>
      <c r="GG18" s="83">
        <f t="shared" si="71"/>
        <v>0</v>
      </c>
      <c r="GH18" s="83">
        <f t="shared" si="72"/>
        <v>0</v>
      </c>
      <c r="GI18" s="83">
        <f t="shared" si="73"/>
        <v>0</v>
      </c>
      <c r="GJ18" s="83">
        <f t="shared" si="74"/>
        <v>0</v>
      </c>
      <c r="GK18" s="83">
        <f t="shared" si="75"/>
        <v>0</v>
      </c>
      <c r="GL18" s="83">
        <f t="shared" si="76"/>
        <v>0</v>
      </c>
      <c r="GM18" s="83">
        <f t="shared" si="77"/>
        <v>0</v>
      </c>
      <c r="GN18" s="83">
        <f t="shared" si="78"/>
        <v>0</v>
      </c>
      <c r="GO18" s="83">
        <f t="shared" si="79"/>
        <v>468.75</v>
      </c>
      <c r="GP18" s="83">
        <f t="shared" si="80"/>
        <v>0</v>
      </c>
      <c r="GQ18" s="83">
        <f t="shared" si="81"/>
        <v>0</v>
      </c>
      <c r="GR18" s="83">
        <f t="shared" si="82"/>
        <v>0</v>
      </c>
      <c r="GS18" s="83">
        <f t="shared" si="83"/>
        <v>0</v>
      </c>
      <c r="GT18" s="83">
        <f t="shared" si="84"/>
        <v>0</v>
      </c>
      <c r="GU18" s="83">
        <f t="shared" si="85"/>
        <v>9318.75</v>
      </c>
      <c r="GV18" s="83">
        <f t="shared" si="86"/>
        <v>0</v>
      </c>
      <c r="GW18" s="83">
        <f t="shared" si="87"/>
        <v>10</v>
      </c>
      <c r="GX18" s="83">
        <f t="shared" si="88"/>
        <v>520</v>
      </c>
      <c r="GY18" s="83">
        <f t="shared" si="89"/>
        <v>200</v>
      </c>
      <c r="GZ18" s="83">
        <f t="shared" si="90"/>
        <v>-875</v>
      </c>
      <c r="HA18" s="83">
        <f t="shared" si="91"/>
        <v>820.64</v>
      </c>
      <c r="HB18" s="83">
        <f t="shared" si="92"/>
        <v>0</v>
      </c>
      <c r="HC18" s="83">
        <f t="shared" si="93"/>
        <v>0</v>
      </c>
      <c r="HD18" s="83">
        <f t="shared" si="94"/>
        <v>0</v>
      </c>
      <c r="HE18" s="83">
        <f t="shared" si="95"/>
        <v>0</v>
      </c>
      <c r="HF18" s="83">
        <f t="shared" si="96"/>
        <v>0</v>
      </c>
      <c r="HG18" s="83">
        <f t="shared" si="97"/>
        <v>0</v>
      </c>
      <c r="HH18" s="83">
        <f t="shared" si="98"/>
        <v>0</v>
      </c>
      <c r="HI18" s="83">
        <f t="shared" si="99"/>
        <v>675.64</v>
      </c>
      <c r="HJ18" s="87">
        <f t="shared" si="100"/>
        <v>9994.39</v>
      </c>
      <c r="HK18" s="105" t="s">
        <v>172</v>
      </c>
      <c r="HL18" s="88">
        <f t="shared" si="101"/>
        <v>7088.43</v>
      </c>
      <c r="HM18" s="88">
        <f t="shared" si="102"/>
        <v>0</v>
      </c>
      <c r="HN18" s="88"/>
      <c r="HO18" s="89">
        <v>7</v>
      </c>
      <c r="HP18" s="91">
        <f t="shared" si="103"/>
        <v>5625</v>
      </c>
      <c r="HQ18" s="91">
        <f t="shared" si="104"/>
        <v>8095.93</v>
      </c>
      <c r="HR18" s="91">
        <f t="shared" si="105"/>
        <v>-1007.5</v>
      </c>
      <c r="HS18" s="91"/>
      <c r="HT18" s="91"/>
      <c r="HU18" s="91"/>
      <c r="HV18" s="91"/>
      <c r="HW18" s="91"/>
      <c r="HX18" s="91"/>
    </row>
    <row r="19" spans="1:233" s="97" customFormat="1" ht="17.25" customHeight="1" thickBot="1" x14ac:dyDescent="0.3">
      <c r="A19" s="217" t="s">
        <v>224</v>
      </c>
      <c r="B19" s="242" t="s">
        <v>226</v>
      </c>
      <c r="C19" s="169" t="s">
        <v>187</v>
      </c>
      <c r="D19" s="183"/>
      <c r="E19" s="169" t="s">
        <v>190</v>
      </c>
      <c r="F19" s="170" t="s">
        <v>194</v>
      </c>
      <c r="G19" s="171" t="s">
        <v>170</v>
      </c>
      <c r="H19" s="223">
        <v>13000</v>
      </c>
      <c r="I19" s="172">
        <f t="shared" si="0"/>
        <v>0</v>
      </c>
      <c r="J19" s="175">
        <v>13</v>
      </c>
      <c r="K19" s="251">
        <v>13</v>
      </c>
      <c r="L19" s="180">
        <f t="shared" si="1"/>
        <v>500</v>
      </c>
      <c r="M19" s="180">
        <f t="shared" si="2"/>
        <v>62.5</v>
      </c>
      <c r="N19" s="180">
        <f t="shared" si="3"/>
        <v>1.0416666666666667</v>
      </c>
      <c r="O19" s="174">
        <f t="shared" si="4"/>
        <v>6500</v>
      </c>
      <c r="P19" s="251">
        <v>9</v>
      </c>
      <c r="Q19" s="174">
        <f t="shared" si="5"/>
        <v>703.125</v>
      </c>
      <c r="R19" s="175"/>
      <c r="S19" s="174">
        <f t="shared" si="107"/>
        <v>0</v>
      </c>
      <c r="T19" s="171"/>
      <c r="U19" s="174">
        <f t="shared" si="6"/>
        <v>0</v>
      </c>
      <c r="V19" s="173">
        <f t="shared" si="7"/>
        <v>0</v>
      </c>
      <c r="W19" s="173">
        <f t="shared" si="8"/>
        <v>0</v>
      </c>
      <c r="X19" s="171"/>
      <c r="Y19" s="174">
        <f t="shared" si="9"/>
        <v>0</v>
      </c>
      <c r="Z19" s="171"/>
      <c r="AA19" s="174">
        <f t="shared" si="10"/>
        <v>0</v>
      </c>
      <c r="AB19" s="171"/>
      <c r="AC19" s="174">
        <f t="shared" si="11"/>
        <v>0</v>
      </c>
      <c r="AD19" s="171"/>
      <c r="AE19" s="174">
        <f t="shared" si="12"/>
        <v>0</v>
      </c>
      <c r="AF19" s="175"/>
      <c r="AG19" s="174">
        <f t="shared" si="13"/>
        <v>0</v>
      </c>
      <c r="AH19" s="171"/>
      <c r="AI19" s="174">
        <f t="shared" si="14"/>
        <v>0</v>
      </c>
      <c r="AJ19" s="171"/>
      <c r="AK19" s="174">
        <f t="shared" si="15"/>
        <v>0</v>
      </c>
      <c r="AL19" s="171"/>
      <c r="AM19" s="174">
        <f t="shared" si="16"/>
        <v>0</v>
      </c>
      <c r="AN19" s="173">
        <f t="shared" si="17"/>
        <v>0</v>
      </c>
      <c r="AO19" s="173">
        <f t="shared" si="18"/>
        <v>0</v>
      </c>
      <c r="AP19" s="171"/>
      <c r="AQ19" s="174">
        <f t="shared" si="19"/>
        <v>0</v>
      </c>
      <c r="AR19" s="171">
        <v>5</v>
      </c>
      <c r="AS19" s="174">
        <f t="shared" si="20"/>
        <v>39.0625</v>
      </c>
      <c r="AT19" s="171"/>
      <c r="AU19" s="174">
        <f t="shared" si="21"/>
        <v>0</v>
      </c>
      <c r="AV19" s="171"/>
      <c r="AW19" s="228">
        <f t="shared" si="22"/>
        <v>0</v>
      </c>
      <c r="AX19" s="171"/>
      <c r="AY19" s="174">
        <f t="shared" si="23"/>
        <v>0</v>
      </c>
      <c r="AZ19" s="171"/>
      <c r="BA19" s="174">
        <f t="shared" si="24"/>
        <v>0</v>
      </c>
      <c r="BB19" s="171"/>
      <c r="BC19" s="174">
        <f t="shared" si="25"/>
        <v>0</v>
      </c>
      <c r="BD19" s="171"/>
      <c r="BE19" s="174">
        <f t="shared" si="26"/>
        <v>0</v>
      </c>
      <c r="BF19" s="171"/>
      <c r="BG19" s="174">
        <f t="shared" si="27"/>
        <v>0</v>
      </c>
      <c r="BH19" s="171"/>
      <c r="BI19" s="174">
        <f t="shared" si="28"/>
        <v>0</v>
      </c>
      <c r="BJ19" s="176">
        <f t="shared" si="29"/>
        <v>5</v>
      </c>
      <c r="BK19" s="173">
        <f t="shared" si="30"/>
        <v>39.0625</v>
      </c>
      <c r="BL19" s="171"/>
      <c r="BM19" s="174"/>
      <c r="BN19" s="174"/>
      <c r="BO19" s="171"/>
      <c r="BP19" s="171"/>
      <c r="BQ19" s="171"/>
      <c r="BR19" s="171"/>
      <c r="BS19" s="174">
        <f t="shared" si="31"/>
        <v>0</v>
      </c>
      <c r="BT19" s="174">
        <f t="shared" si="32"/>
        <v>0</v>
      </c>
      <c r="BU19" s="173">
        <f t="shared" si="33"/>
        <v>0</v>
      </c>
      <c r="BV19" s="173">
        <f t="shared" si="34"/>
        <v>0</v>
      </c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4">
        <f t="shared" si="35"/>
        <v>0</v>
      </c>
      <c r="CI19" s="175"/>
      <c r="CJ19" s="174">
        <f t="shared" si="36"/>
        <v>0</v>
      </c>
      <c r="CK19" s="175"/>
      <c r="CL19" s="174">
        <f t="shared" si="37"/>
        <v>0</v>
      </c>
      <c r="CM19" s="171">
        <f t="shared" si="38"/>
        <v>0</v>
      </c>
      <c r="CN19" s="177">
        <f t="shared" si="39"/>
        <v>0</v>
      </c>
      <c r="CO19" s="173">
        <f t="shared" si="40"/>
        <v>0</v>
      </c>
      <c r="CP19" s="176">
        <f t="shared" si="41"/>
        <v>7242.1875</v>
      </c>
      <c r="CQ19" s="187" t="str">
        <f>_xlfn.IFNA(VLOOKUP(B19,'[1]201'!$E$7:$H$66,2,FALSE),"")</f>
        <v/>
      </c>
      <c r="CR19" s="187" t="str">
        <f>_xlfn.IFNA(VLOOKUP(B19,'[1]201'!$E$7:$H$66,3,FALSE),"")</f>
        <v/>
      </c>
      <c r="CS19" s="187" t="str">
        <f>_xlfn.IFNA(VLOOKUP(B19,'[1]201'!$E$7:$H$66,4,FALSE),"")</f>
        <v/>
      </c>
      <c r="CT19" s="179"/>
      <c r="CU19" s="179"/>
      <c r="CV19" s="179"/>
      <c r="CW19" s="180">
        <v>585</v>
      </c>
      <c r="CX19" s="181">
        <v>1235</v>
      </c>
      <c r="CY19" s="182">
        <v>10</v>
      </c>
      <c r="CZ19" s="176">
        <f t="shared" si="42"/>
        <v>1830</v>
      </c>
      <c r="DA19" s="181">
        <f t="shared" si="43"/>
        <v>260</v>
      </c>
      <c r="DB19" s="182">
        <f t="shared" si="44"/>
        <v>260</v>
      </c>
      <c r="DC19" s="176">
        <f t="shared" si="45"/>
        <v>520</v>
      </c>
      <c r="DD19" s="181">
        <v>100</v>
      </c>
      <c r="DE19" s="182">
        <v>100</v>
      </c>
      <c r="DF19" s="176">
        <f t="shared" si="46"/>
        <v>200</v>
      </c>
      <c r="DG19" s="176">
        <f t="shared" si="106"/>
        <v>945</v>
      </c>
      <c r="DH19" s="183"/>
      <c r="DI19" s="183"/>
      <c r="DJ19" s="183"/>
      <c r="DK19" s="183"/>
      <c r="DL19" s="176">
        <f t="shared" si="47"/>
        <v>0</v>
      </c>
      <c r="DM19" s="183"/>
      <c r="DN19" s="183"/>
      <c r="DO19" s="183"/>
      <c r="DP19" s="183"/>
      <c r="DQ19" s="172">
        <f t="shared" si="48"/>
        <v>0</v>
      </c>
      <c r="DR19" s="179"/>
      <c r="DS19" s="179"/>
      <c r="DT19" s="175"/>
      <c r="DU19" s="179"/>
      <c r="DV19" s="179"/>
      <c r="DW19" s="220"/>
      <c r="DX19" s="218"/>
      <c r="DY19" s="173">
        <f t="shared" si="49"/>
        <v>0</v>
      </c>
      <c r="DZ19" s="179"/>
      <c r="EA19" s="215"/>
      <c r="EB19" s="215"/>
      <c r="EC19" s="215"/>
      <c r="ED19" s="179"/>
      <c r="EE19" s="184"/>
      <c r="EF19" s="185">
        <f t="shared" si="50"/>
        <v>0</v>
      </c>
      <c r="EG19" s="176">
        <f t="shared" si="51"/>
        <v>945</v>
      </c>
      <c r="EH19" s="176">
        <f t="shared" si="52"/>
        <v>6297.1875</v>
      </c>
      <c r="EI19" s="176">
        <f t="shared" si="53"/>
        <v>8187.1875</v>
      </c>
      <c r="EJ19" s="176">
        <f t="shared" si="54"/>
        <v>0</v>
      </c>
      <c r="EK19" s="176">
        <f t="shared" si="55"/>
        <v>0</v>
      </c>
      <c r="EL19" s="176">
        <f t="shared" si="56"/>
        <v>0</v>
      </c>
      <c r="EM19" s="176">
        <f t="shared" si="57"/>
        <v>6297.1875</v>
      </c>
      <c r="EN19" s="172">
        <f t="shared" si="58"/>
        <v>541.66666666666663</v>
      </c>
      <c r="EO19" s="234" t="s">
        <v>224</v>
      </c>
      <c r="EP19" s="214">
        <f t="shared" si="59"/>
        <v>541.66666666666663</v>
      </c>
      <c r="EQ19" s="83">
        <f>IFERROR(O19+IFERROR(VLOOKUP(B19,'[1]Mar1 Payroll'!$B$9:$FJ$68,131,FALSE),),0)</f>
        <v>6500</v>
      </c>
      <c r="ER19" s="83">
        <f>IFERROR(Q19+W19+AO19+BK19+BL19+IFERROR(VLOOKUP(B19,'[1]Mar1 Payroll'!$B$9:$FJ$68,132,FALSE),),)</f>
        <v>742.1875</v>
      </c>
      <c r="ES19" s="83">
        <f t="array" ref="ES19">IFERROR(IF(BX19+CB19+CD19+CE19+CF19+EN19+IFERROR(SUM(VLOOKUP(B19,'[1]Mar1 Payroll'!$B$9:$FJ$68,{133,137,140,141,144,146,147,148},FALSE)),)&gt;90000,EN19+IFERROR(SUM(VLOOKUP(B19,'[1]Mar1 Payroll'!$B$9:$FJ$68,{133,144},FALSE)),),IF(BX19+CB19+CD19+CE19+CF19+EN19+IFERROR(SUM(VLOOKUP(B19,'[1]Mar1 Payroll'!$B$9:$EK$68,{133,137,140,141,144,146,147,148},FALSE)),)&lt;90000,0,0)),0)</f>
        <v>0</v>
      </c>
      <c r="ET19" s="83">
        <f>IFERROR(BW19+IFERROR(VLOOKUP(B19,'[1]Mar1 Payroll'!$B$9:$FJ$68,134,FALSE),),0)</f>
        <v>0</v>
      </c>
      <c r="EU19" s="83">
        <f>IFERROR(BU19+IFERROR(VLOOKUP(B19,'[1]Mar1 Payroll'!$B$9:$FJ$68,135,FALSE),),0)</f>
        <v>0</v>
      </c>
      <c r="EV19" s="83">
        <f>IFERROR(BV19+IFERROR(VLOOKUP(B19,'[1]Mar1 Payroll'!$B$9:$FJ$68,136,FALSE),),0)</f>
        <v>0</v>
      </c>
      <c r="EW19" s="83">
        <f t="array" ref="EW19">IFERROR(IF(BX19+CB19+CD19+CE19+CF19+EN19+IFERROR(SUM(VLOOKUP(B19,'[1]Mar1 Payroll'!$B$9:$FJ$68,{133,137,140,141,144,146,147,148},FALSE)),)&gt;90000,BX19+IFERROR(SUM(VLOOKUP(B19,'[1]Mar1 Payroll'!$B$9:$FJ$68,{137,147},FALSE)),),IF(BX19+CB19+CD19+CE19+CF19+EN19+IFERROR(SUM(VLOOKUP(B19,'[1]Mar1 Payroll'!$B$9:$EK$68,{133,137,140,141,144,146,147,148},FALSE)),)&lt;90000,0,0)),0)</f>
        <v>0</v>
      </c>
      <c r="EX19" s="83">
        <f>IFERROR(BY19+IFERROR(VLOOKUP(B19,'[1]Mar1 Payroll'!$B$9:$FJ$68,138,FALSE),),0)</f>
        <v>0</v>
      </c>
      <c r="EY19" s="83">
        <f>IFERROR(BZ19+IFERROR(VLOOKUP(B19,'[1]Mar1 Payroll'!$B$9:$FJ$68,139,FALSE),),0)</f>
        <v>0</v>
      </c>
      <c r="EZ19" s="83">
        <f t="array" ref="EZ19">IFERROR(IF(BX19+CB19+CD19+CE19+CF19+EN19+IFERROR(SUM(VLOOKUP(B19,'[1]Mar1 Payroll'!$B$9:$FJ$68,{133,137,140,141,144,146,147,148},FALSE)),)&gt;90000,CB19+IFERROR(SUM(VLOOKUP(B19,'[1]Mar1 Payroll'!$B$9:$FJ$68,{140,146},FALSE)),),IF(BX19+CB19+CD19+CE19+CF19+EN19+IFERROR(SUM(VLOOKUP(B19,'[1]Mar1 Payroll'!$B$9:$EK$68,{133,137,140,141,144,146,147,148},FALSE)),)&lt;90000,0,0)),0)</f>
        <v>0</v>
      </c>
      <c r="FA19" s="83">
        <f t="array" ref="FA19">IFERROR(IF(BX19+CB19+CD19+CE19+CF19+EN19+IFERROR(SUM(VLOOKUP(B19,'[1]Mar1 Payroll'!$B$9:$FJ$68,{133,137,140,141,144,146,147,148},FALSE)),)&gt;90000,CD19+CE19+CF19+IFERROR(SUM(VLOOKUP(B19,'[1]Mar1 Payroll'!$B$9:$FJ$68,{141,148},FALSE)),),IF(BX19+CB19+CD19+CE19+CF19+EN19+IFERROR(SUM(VLOOKUP(B19,'[1]Mar1 Payroll'!$B$9:$EK$68,{133,137,140,141,144,146,147,148},FALSE)),)&lt;90000,0,0)),0)</f>
        <v>0</v>
      </c>
      <c r="FB19" s="83">
        <f t="shared" si="60"/>
        <v>0</v>
      </c>
      <c r="FC19" s="83">
        <f t="shared" si="61"/>
        <v>0</v>
      </c>
      <c r="FD19" s="83">
        <f t="array" ref="FD19">IFERROR(IF(BX19+CB19+CD19+CE19+CF19+EN19+IFERROR(SUM(VLOOKUP(B19,'[1]Mar1 Payroll'!$B$9:$FJ$68,{133,137,140,141,144,146,147,148},FALSE)),)&gt;90000,0,IF(BX19+CB19+CD19+CE19+CF19+EN19+IFERROR(SUM(VLOOKUP(B19,'[1]Mar1 Payroll'!$B$9:$EK$68,{133,137,140,141,144,146,147,148},FALSE)),)&lt;90000,EN19+IFERROR(SUM(VLOOKUP(B19,'[1]Mar1 Payroll'!$B$9:$FJ$68,{133,144},FALSE)),),)),)</f>
        <v>541.66666666666663</v>
      </c>
      <c r="FE19" s="83">
        <f>IFERROR(CC19+IFERROR(VLOOKUP(B19,'[1]Mar1 Payroll'!$B$9:$FJ$68,145,FALSE),),0)</f>
        <v>0</v>
      </c>
      <c r="FF19" s="83">
        <f t="array" ref="FF19">IFERROR(IF(BX19+CB19+CD19+CE19+CF19+EN19+IFERROR(SUM(VLOOKUP(B19,'[1]Mar1 Payroll'!$B$9:$FJ$68,{133,137,140,141,144,146,147,148},FALSE)),)&gt;90000,0,IF(BX19+CB19+CD19+CE19+CF19+EN19+IFERROR(SUM(VLOOKUP(B19,'[1]Mar1 Payroll'!$B$9:$EK$68,{133,137,140,141,144,146,147,148},FALSE)),)&lt;90000,CB19+IFERROR(SUM(VLOOKUP(B19,'[1]Mar1 Payroll'!$B$9:$FJ$68,{140,146},FALSE)),))),0)</f>
        <v>0</v>
      </c>
      <c r="FG19" s="83">
        <f t="array" ref="FG19">IFERROR(IF(BX19+CB19+CD19+CE19+CF19+EN19+IFERROR(SUM(VLOOKUP(B19,'[1]Mar1 Payroll'!$B$9:$FJ$68,{133,137,140,141,144,146,147,148},FALSE)),)&gt;90000,0,IF(BX19+CB19+CD19+CE19+CF19+EN19+IFERROR(SUM(VLOOKUP(B19,'[1]Mar1 Payroll'!$B$9:$EK$68,{133,137,140,141,144,146,147,148},FALSE)),)&lt;90000,BX19+IFERROR(SUM(VLOOKUP(B19,'[1]Mar1 Payroll'!$B$9:$FJ$68,{137,147},FALSE)),))),0)</f>
        <v>0</v>
      </c>
      <c r="FH19" s="83">
        <f t="array" ref="FH19">IFERROR(IF(BX19+CB19+CD19+CE19+CF19+EN19+IFERROR(SUM(VLOOKUP(B19,'[1]Mar1 Payroll'!$B$9:$FJ$68,{133,137,140,141,144,146,147,148},FALSE)),)&gt;90000,0,IF(BX19+CB19+CD19+CE19+CF19+EN19+IFERROR(SUM(VLOOKUP(B19,'[1]Mar1 Payroll'!$B$9:$EK$68,{133,137,140,141,144,146,147,148},FALSE)),)&lt;90000,CD19+CE19+CF19+IFERROR(SUM(VLOOKUP(B19,'[1]Mar1 Payroll'!$B$9:$FJ$68,{141,148},FALSE)),))),0)</f>
        <v>0</v>
      </c>
      <c r="FI19" s="83">
        <f t="shared" si="62"/>
        <v>0</v>
      </c>
      <c r="FJ19" s="83">
        <f t="shared" si="63"/>
        <v>7242.1875</v>
      </c>
      <c r="FK19" s="83">
        <f>IFERROR(EJ19+EK19+EL19+IFERROR(VLOOKUP(B19,'[1]Mar1 Payroll'!$B$9:$FJ$68,151,FALSE),),0)</f>
        <v>0</v>
      </c>
      <c r="FL19" s="83">
        <f>IFERROR(CY19+IFERROR(VLOOKUP(B19,'[1]Mar1 Payroll'!$B$9:$FJ$68,152,FALSE),),0)</f>
        <v>10</v>
      </c>
      <c r="FM19" s="83">
        <f>IFERROR(DA19+DB19+IFERROR(VLOOKUP(B19,'[1]Mar1 Payroll'!$B$9:$FJ$68,153,FALSE),),0)</f>
        <v>520</v>
      </c>
      <c r="FN19" s="83">
        <f>IFERROR(DD19+DE19+IFERROR(VLOOKUP(B19,'[1]Mar1 Payroll'!$B$9:$FJ$68,154,FALSE),),0)</f>
        <v>200</v>
      </c>
      <c r="FO19" s="83">
        <f>IFERROR(CO19+IFERROR(VLOOKUP(B19,'[1]Mar1 Payroll'!$B$9:$FJ$68,155,FALSE),),0)</f>
        <v>0</v>
      </c>
      <c r="FP19" s="83">
        <f>IFERROR(DZ19+EA19+EF19+IFERROR(VLOOKUP(B19,'[1]Mar1 Payroll'!$B$9:$FJ$68,156,FALSE),),0)</f>
        <v>0</v>
      </c>
      <c r="FQ19" s="83">
        <f>IFERROR(DH19+IFERROR(VLOOKUP(B19,'[1]Mar1 Payroll'!$B$9:$FJ$68,157,FALSE),),0)</f>
        <v>0</v>
      </c>
      <c r="FR19" s="83">
        <f>IFERROR(DI19+IFERROR(VLOOKUP(B19,'[1]Mar1 Payroll'!$B$9:$FJ$68,158,FALSE),),0)</f>
        <v>0</v>
      </c>
      <c r="FS19" s="83">
        <f>IFERROR(DK19+IFERROR(VLOOKUP(B19,'[1]Mar1 Payroll'!$B$9:$FJ$68,159,FALSE),),0)</f>
        <v>0</v>
      </c>
      <c r="FT19" s="83">
        <f>IFERROR(DM19+IFERROR(VLOOKUP(B19,'[1]Mar1 Payroll'!$B$9:$FJ$68,160,FALSE),),0)</f>
        <v>0</v>
      </c>
      <c r="FU19" s="83">
        <f>IFERROR(DN19+IFERROR(VLOOKUP(B19,'[1]Mar1 Payroll'!$B$9:$FJ$68,161,FALSE),),0)</f>
        <v>0</v>
      </c>
      <c r="FV19" s="83">
        <f>IFERROR(DO19+IFERROR(VLOOKUP(B19,'[1]Mar1 Payroll'!$B$9:$FJ$68,162,FALSE),),0)</f>
        <v>0</v>
      </c>
      <c r="FW19" s="83">
        <f>IFERROR(DP19+IFERROR(VLOOKUP(B19,'[1]Mar1 Payroll'!$B$9:$FJ$68,163,FALSE),),0)</f>
        <v>0</v>
      </c>
      <c r="FX19" s="83">
        <f t="shared" si="64"/>
        <v>730</v>
      </c>
      <c r="FY19" s="84">
        <f t="shared" si="65"/>
        <v>7972.1875</v>
      </c>
      <c r="FZ19" s="85"/>
      <c r="GA19" s="105"/>
      <c r="GB19" s="86">
        <f t="shared" si="66"/>
        <v>6500</v>
      </c>
      <c r="GC19" s="83">
        <f t="shared" si="67"/>
        <v>742.1875</v>
      </c>
      <c r="GD19" s="83">
        <f t="shared" si="68"/>
        <v>0</v>
      </c>
      <c r="GE19" s="83">
        <f t="shared" si="69"/>
        <v>0</v>
      </c>
      <c r="GF19" s="83">
        <f t="shared" si="70"/>
        <v>0</v>
      </c>
      <c r="GG19" s="83">
        <f t="shared" si="71"/>
        <v>0</v>
      </c>
      <c r="GH19" s="83">
        <f t="shared" si="72"/>
        <v>0</v>
      </c>
      <c r="GI19" s="83">
        <f t="shared" si="73"/>
        <v>0</v>
      </c>
      <c r="GJ19" s="83">
        <f t="shared" si="74"/>
        <v>0</v>
      </c>
      <c r="GK19" s="83">
        <f t="shared" si="75"/>
        <v>0</v>
      </c>
      <c r="GL19" s="83">
        <f t="shared" si="76"/>
        <v>0</v>
      </c>
      <c r="GM19" s="83">
        <f t="shared" si="77"/>
        <v>0</v>
      </c>
      <c r="GN19" s="83">
        <f t="shared" si="78"/>
        <v>0</v>
      </c>
      <c r="GO19" s="83">
        <f t="shared" si="79"/>
        <v>541.66666666666663</v>
      </c>
      <c r="GP19" s="83">
        <f t="shared" si="80"/>
        <v>0</v>
      </c>
      <c r="GQ19" s="83">
        <f t="shared" si="81"/>
        <v>0</v>
      </c>
      <c r="GR19" s="83">
        <f t="shared" si="82"/>
        <v>0</v>
      </c>
      <c r="GS19" s="83">
        <f t="shared" si="83"/>
        <v>0</v>
      </c>
      <c r="GT19" s="83">
        <f t="shared" si="84"/>
        <v>0</v>
      </c>
      <c r="GU19" s="83">
        <f t="shared" si="85"/>
        <v>7242.1875</v>
      </c>
      <c r="GV19" s="83">
        <f t="shared" si="86"/>
        <v>0</v>
      </c>
      <c r="GW19" s="83">
        <f t="shared" si="87"/>
        <v>10</v>
      </c>
      <c r="GX19" s="83">
        <f t="shared" si="88"/>
        <v>520</v>
      </c>
      <c r="GY19" s="83">
        <f t="shared" si="89"/>
        <v>200</v>
      </c>
      <c r="GZ19" s="83">
        <f t="shared" si="90"/>
        <v>0</v>
      </c>
      <c r="HA19" s="83">
        <f t="shared" si="91"/>
        <v>0</v>
      </c>
      <c r="HB19" s="83">
        <f t="shared" si="92"/>
        <v>0</v>
      </c>
      <c r="HC19" s="83">
        <f t="shared" si="93"/>
        <v>0</v>
      </c>
      <c r="HD19" s="83">
        <f t="shared" si="94"/>
        <v>0</v>
      </c>
      <c r="HE19" s="83">
        <f t="shared" si="95"/>
        <v>0</v>
      </c>
      <c r="HF19" s="83">
        <f t="shared" si="96"/>
        <v>0</v>
      </c>
      <c r="HG19" s="83">
        <f t="shared" si="97"/>
        <v>0</v>
      </c>
      <c r="HH19" s="83">
        <f t="shared" si="98"/>
        <v>0</v>
      </c>
      <c r="HI19" s="83">
        <f t="shared" si="99"/>
        <v>730</v>
      </c>
      <c r="HJ19" s="87">
        <f t="shared" si="100"/>
        <v>7972.1875</v>
      </c>
      <c r="HK19" s="105" t="s">
        <v>172</v>
      </c>
      <c r="HL19" s="88">
        <f t="shared" si="101"/>
        <v>6297.1875</v>
      </c>
      <c r="HM19" s="88">
        <f t="shared" si="102"/>
        <v>0</v>
      </c>
      <c r="HN19" s="88"/>
      <c r="HO19" s="89">
        <v>7</v>
      </c>
      <c r="HP19" s="91">
        <f t="shared" si="103"/>
        <v>6500</v>
      </c>
      <c r="HQ19" s="91">
        <f t="shared" si="104"/>
        <v>7242.1875</v>
      </c>
      <c r="HR19" s="91">
        <f t="shared" si="105"/>
        <v>-945</v>
      </c>
      <c r="HS19" s="91"/>
      <c r="HT19" s="91"/>
      <c r="HU19" s="91"/>
      <c r="HV19" s="91"/>
      <c r="HW19" s="91"/>
      <c r="HX19" s="91"/>
    </row>
    <row r="20" spans="1:233" s="97" customFormat="1" ht="15.75" customHeight="1" thickBot="1" x14ac:dyDescent="0.3">
      <c r="A20" s="217" t="s">
        <v>227</v>
      </c>
      <c r="B20" s="242" t="s">
        <v>219</v>
      </c>
      <c r="C20" s="169" t="s">
        <v>187</v>
      </c>
      <c r="D20" s="183"/>
      <c r="E20" s="169" t="s">
        <v>197</v>
      </c>
      <c r="F20" s="170" t="s">
        <v>194</v>
      </c>
      <c r="G20" s="171" t="s">
        <v>170</v>
      </c>
      <c r="H20" s="223">
        <v>11518</v>
      </c>
      <c r="I20" s="172">
        <f t="shared" si="0"/>
        <v>0</v>
      </c>
      <c r="J20" s="175">
        <v>13</v>
      </c>
      <c r="K20" s="251">
        <v>13</v>
      </c>
      <c r="L20" s="180">
        <f t="shared" si="1"/>
        <v>443</v>
      </c>
      <c r="M20" s="180">
        <f t="shared" si="2"/>
        <v>55.375</v>
      </c>
      <c r="N20" s="180">
        <f t="shared" si="3"/>
        <v>0.92291666666666672</v>
      </c>
      <c r="O20" s="174">
        <f t="shared" si="4"/>
        <v>5759</v>
      </c>
      <c r="P20" s="251">
        <v>12</v>
      </c>
      <c r="Q20" s="174">
        <f t="shared" si="5"/>
        <v>830.625</v>
      </c>
      <c r="R20" s="175"/>
      <c r="S20" s="174">
        <f t="shared" si="107"/>
        <v>0</v>
      </c>
      <c r="T20" s="171"/>
      <c r="U20" s="174">
        <f t="shared" si="6"/>
        <v>0</v>
      </c>
      <c r="V20" s="173">
        <f t="shared" si="7"/>
        <v>0</v>
      </c>
      <c r="W20" s="173">
        <f t="shared" si="8"/>
        <v>0</v>
      </c>
      <c r="X20" s="171"/>
      <c r="Y20" s="174">
        <f t="shared" si="9"/>
        <v>0</v>
      </c>
      <c r="Z20" s="252"/>
      <c r="AA20" s="174">
        <f t="shared" si="10"/>
        <v>0</v>
      </c>
      <c r="AB20" s="171"/>
      <c r="AC20" s="174">
        <f t="shared" si="11"/>
        <v>0</v>
      </c>
      <c r="AD20" s="171"/>
      <c r="AE20" s="174">
        <f t="shared" si="12"/>
        <v>0</v>
      </c>
      <c r="AF20" s="175"/>
      <c r="AG20" s="174">
        <f t="shared" si="13"/>
        <v>0</v>
      </c>
      <c r="AH20" s="171"/>
      <c r="AI20" s="174">
        <f t="shared" si="14"/>
        <v>0</v>
      </c>
      <c r="AJ20" s="171"/>
      <c r="AK20" s="174">
        <f t="shared" si="15"/>
        <v>0</v>
      </c>
      <c r="AL20" s="171"/>
      <c r="AM20" s="174">
        <f t="shared" si="16"/>
        <v>0</v>
      </c>
      <c r="AN20" s="173">
        <f t="shared" si="17"/>
        <v>0</v>
      </c>
      <c r="AO20" s="173">
        <f t="shared" si="18"/>
        <v>0</v>
      </c>
      <c r="AP20" s="171">
        <v>16</v>
      </c>
      <c r="AQ20" s="174">
        <f t="shared" si="19"/>
        <v>88.600000000000009</v>
      </c>
      <c r="AR20" s="171">
        <v>12</v>
      </c>
      <c r="AS20" s="174">
        <f t="shared" si="20"/>
        <v>83.0625</v>
      </c>
      <c r="AT20" s="171"/>
      <c r="AU20" s="174">
        <f t="shared" si="21"/>
        <v>0</v>
      </c>
      <c r="AV20" s="171"/>
      <c r="AW20" s="228">
        <f t="shared" si="22"/>
        <v>0</v>
      </c>
      <c r="AX20" s="171"/>
      <c r="AY20" s="174">
        <f t="shared" si="23"/>
        <v>0</v>
      </c>
      <c r="AZ20" s="171"/>
      <c r="BA20" s="174">
        <f t="shared" si="24"/>
        <v>0</v>
      </c>
      <c r="BB20" s="171"/>
      <c r="BC20" s="174">
        <f t="shared" si="25"/>
        <v>0</v>
      </c>
      <c r="BD20" s="171"/>
      <c r="BE20" s="174">
        <f t="shared" si="26"/>
        <v>0</v>
      </c>
      <c r="BF20" s="171"/>
      <c r="BG20" s="174">
        <f t="shared" si="27"/>
        <v>0</v>
      </c>
      <c r="BH20" s="171"/>
      <c r="BI20" s="174">
        <f t="shared" si="28"/>
        <v>0</v>
      </c>
      <c r="BJ20" s="176">
        <f t="shared" si="29"/>
        <v>28</v>
      </c>
      <c r="BK20" s="173">
        <f t="shared" si="30"/>
        <v>171.66250000000002</v>
      </c>
      <c r="BL20" s="171"/>
      <c r="BM20" s="174"/>
      <c r="BN20" s="174"/>
      <c r="BO20" s="171"/>
      <c r="BP20" s="171"/>
      <c r="BQ20" s="171"/>
      <c r="BR20" s="171"/>
      <c r="BS20" s="174">
        <f t="shared" si="31"/>
        <v>0</v>
      </c>
      <c r="BT20" s="174">
        <f t="shared" si="32"/>
        <v>0</v>
      </c>
      <c r="BU20" s="173">
        <f t="shared" si="33"/>
        <v>0</v>
      </c>
      <c r="BV20" s="173">
        <f t="shared" si="34"/>
        <v>0</v>
      </c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4">
        <f t="shared" si="35"/>
        <v>0</v>
      </c>
      <c r="CI20" s="175"/>
      <c r="CJ20" s="174">
        <f t="shared" si="36"/>
        <v>0</v>
      </c>
      <c r="CK20" s="175"/>
      <c r="CL20" s="174">
        <f t="shared" si="37"/>
        <v>0</v>
      </c>
      <c r="CM20" s="171">
        <f t="shared" si="38"/>
        <v>0</v>
      </c>
      <c r="CN20" s="177">
        <f t="shared" si="39"/>
        <v>0</v>
      </c>
      <c r="CO20" s="173">
        <f t="shared" si="40"/>
        <v>0</v>
      </c>
      <c r="CP20" s="176">
        <f t="shared" si="41"/>
        <v>6761.2875000000004</v>
      </c>
      <c r="CQ20" s="187" t="str">
        <f>_xlfn.IFNA(VLOOKUP(B20,'[1]201'!$E$7:$H$66,2,FALSE),"")</f>
        <v/>
      </c>
      <c r="CR20" s="187" t="str">
        <f>_xlfn.IFNA(VLOOKUP(B20,'[1]201'!$E$7:$H$66,3,FALSE),"")</f>
        <v/>
      </c>
      <c r="CS20" s="187" t="str">
        <f>_xlfn.IFNA(VLOOKUP(B20,'[1]201'!$E$7:$H$66,4,FALSE),"")</f>
        <v/>
      </c>
      <c r="CT20" s="179"/>
      <c r="CU20" s="179"/>
      <c r="CV20" s="179"/>
      <c r="CW20" s="180">
        <v>517.5</v>
      </c>
      <c r="CX20" s="181">
        <v>1092.5</v>
      </c>
      <c r="CY20" s="182">
        <v>10</v>
      </c>
      <c r="CZ20" s="176">
        <f t="shared" si="42"/>
        <v>1620</v>
      </c>
      <c r="DA20" s="181">
        <f t="shared" si="43"/>
        <v>230.36</v>
      </c>
      <c r="DB20" s="182">
        <f t="shared" si="44"/>
        <v>230.36</v>
      </c>
      <c r="DC20" s="176">
        <f t="shared" si="45"/>
        <v>460.72</v>
      </c>
      <c r="DD20" s="181">
        <v>100</v>
      </c>
      <c r="DE20" s="182">
        <v>100</v>
      </c>
      <c r="DF20" s="176">
        <f t="shared" si="46"/>
        <v>200</v>
      </c>
      <c r="DG20" s="176">
        <f t="shared" si="106"/>
        <v>847.86</v>
      </c>
      <c r="DH20" s="183"/>
      <c r="DI20" s="183"/>
      <c r="DJ20" s="183"/>
      <c r="DK20" s="183"/>
      <c r="DL20" s="176">
        <f t="shared" si="47"/>
        <v>0</v>
      </c>
      <c r="DM20" s="183"/>
      <c r="DN20" s="183"/>
      <c r="DO20" s="183"/>
      <c r="DP20" s="183"/>
      <c r="DQ20" s="172">
        <f t="shared" si="48"/>
        <v>0</v>
      </c>
      <c r="DR20" s="179"/>
      <c r="DS20" s="179"/>
      <c r="DT20" s="175"/>
      <c r="DU20" s="179"/>
      <c r="DV20" s="179"/>
      <c r="DW20" s="220"/>
      <c r="DX20" s="218"/>
      <c r="DY20" s="173">
        <f t="shared" si="49"/>
        <v>0</v>
      </c>
      <c r="DZ20" s="179">
        <v>488</v>
      </c>
      <c r="EA20" s="215">
        <v>0</v>
      </c>
      <c r="EB20" s="215"/>
      <c r="EC20" s="215"/>
      <c r="ED20" s="179"/>
      <c r="EE20" s="184"/>
      <c r="EF20" s="185">
        <f t="shared" si="50"/>
        <v>488</v>
      </c>
      <c r="EG20" s="176">
        <f t="shared" si="51"/>
        <v>1335.8600000000001</v>
      </c>
      <c r="EH20" s="176">
        <f t="shared" si="52"/>
        <v>5425.4274999999998</v>
      </c>
      <c r="EI20" s="176">
        <f t="shared" si="53"/>
        <v>7609.1475</v>
      </c>
      <c r="EJ20" s="176">
        <f t="shared" si="54"/>
        <v>0</v>
      </c>
      <c r="EK20" s="176">
        <f t="shared" si="55"/>
        <v>0</v>
      </c>
      <c r="EL20" s="176">
        <f t="shared" si="56"/>
        <v>0</v>
      </c>
      <c r="EM20" s="176">
        <f t="shared" si="57"/>
        <v>5425.4274999999998</v>
      </c>
      <c r="EN20" s="172">
        <f t="shared" si="58"/>
        <v>479.91666666666669</v>
      </c>
      <c r="EO20" s="234" t="s">
        <v>227</v>
      </c>
      <c r="EP20" s="214">
        <f t="shared" si="59"/>
        <v>479.91666666666669</v>
      </c>
      <c r="EQ20" s="83">
        <f>IFERROR(O20+IFERROR(VLOOKUP(B20,'[1]Mar1 Payroll'!$B$9:$FJ$68,131,FALSE),),0)</f>
        <v>5759</v>
      </c>
      <c r="ER20" s="83">
        <f>IFERROR(Q20+W20+AO20+BK20+BL20+IFERROR(VLOOKUP(B20,'[1]Mar1 Payroll'!$B$9:$FJ$68,132,FALSE),),)</f>
        <v>1002.2875</v>
      </c>
      <c r="ES20" s="83">
        <f t="array" ref="ES20">IFERROR(IF(BX20+CB20+CD20+CE20+CF20+EN20+IFERROR(SUM(VLOOKUP(B20,'[1]Mar1 Payroll'!$B$9:$FJ$68,{133,137,140,141,144,146,147,148},FALSE)),)&gt;90000,EN20+IFERROR(SUM(VLOOKUP(B20,'[1]Mar1 Payroll'!$B$9:$FJ$68,{133,144},FALSE)),),IF(BX20+CB20+CD20+CE20+CF20+EN20+IFERROR(SUM(VLOOKUP(B20,'[1]Mar1 Payroll'!$B$9:$EK$68,{133,137,140,141,144,146,147,148},FALSE)),)&lt;90000,0,0)),0)</f>
        <v>0</v>
      </c>
      <c r="ET20" s="83">
        <f>IFERROR(BW20+IFERROR(VLOOKUP(B20,'[1]Mar1 Payroll'!$B$9:$FJ$68,134,FALSE),),0)</f>
        <v>0</v>
      </c>
      <c r="EU20" s="83">
        <f>IFERROR(BU20+IFERROR(VLOOKUP(B20,'[1]Mar1 Payroll'!$B$9:$FJ$68,135,FALSE),),0)</f>
        <v>0</v>
      </c>
      <c r="EV20" s="83">
        <f>IFERROR(BV20+IFERROR(VLOOKUP(B20,'[1]Mar1 Payroll'!$B$9:$FJ$68,136,FALSE),),0)</f>
        <v>0</v>
      </c>
      <c r="EW20" s="83">
        <f t="array" ref="EW20">IFERROR(IF(BX20+CB20+CD20+CE20+CF20+EN20+IFERROR(SUM(VLOOKUP(B20,'[1]Mar1 Payroll'!$B$9:$FJ$68,{133,137,140,141,144,146,147,148},FALSE)),)&gt;90000,BX20+IFERROR(SUM(VLOOKUP(B20,'[1]Mar1 Payroll'!$B$9:$FJ$68,{137,147},FALSE)),),IF(BX20+CB20+CD20+CE20+CF20+EN20+IFERROR(SUM(VLOOKUP(B20,'[1]Mar1 Payroll'!$B$9:$EK$68,{133,137,140,141,144,146,147,148},FALSE)),)&lt;90000,0,0)),0)</f>
        <v>0</v>
      </c>
      <c r="EX20" s="83">
        <f>IFERROR(BY20+IFERROR(VLOOKUP(B20,'[1]Mar1 Payroll'!$B$9:$FJ$68,138,FALSE),),0)</f>
        <v>0</v>
      </c>
      <c r="EY20" s="83">
        <f>IFERROR(BZ20+IFERROR(VLOOKUP(B20,'[1]Mar1 Payroll'!$B$9:$FJ$68,139,FALSE),),0)</f>
        <v>0</v>
      </c>
      <c r="EZ20" s="83">
        <f t="array" ref="EZ20">IFERROR(IF(BX20+CB20+CD20+CE20+CF20+EN20+IFERROR(SUM(VLOOKUP(B20,'[1]Mar1 Payroll'!$B$9:$FJ$68,{133,137,140,141,144,146,147,148},FALSE)),)&gt;90000,CB20+IFERROR(SUM(VLOOKUP(B20,'[1]Mar1 Payroll'!$B$9:$FJ$68,{140,146},FALSE)),),IF(BX20+CB20+CD20+CE20+CF20+EN20+IFERROR(SUM(VLOOKUP(B20,'[1]Mar1 Payroll'!$B$9:$EK$68,{133,137,140,141,144,146,147,148},FALSE)),)&lt;90000,0,0)),0)</f>
        <v>0</v>
      </c>
      <c r="FA20" s="83">
        <f t="array" ref="FA20">IFERROR(IF(BX20+CB20+CD20+CE20+CF20+EN20+IFERROR(SUM(VLOOKUP(B20,'[1]Mar1 Payroll'!$B$9:$FJ$68,{133,137,140,141,144,146,147,148},FALSE)),)&gt;90000,CD20+CE20+CF20+IFERROR(SUM(VLOOKUP(B20,'[1]Mar1 Payroll'!$B$9:$FJ$68,{141,148},FALSE)),),IF(BX20+CB20+CD20+CE20+CF20+EN20+IFERROR(SUM(VLOOKUP(B20,'[1]Mar1 Payroll'!$B$9:$EK$68,{133,137,140,141,144,146,147,148},FALSE)),)&lt;90000,0,0)),0)</f>
        <v>0</v>
      </c>
      <c r="FB20" s="83">
        <f t="shared" si="60"/>
        <v>0</v>
      </c>
      <c r="FC20" s="83">
        <f t="shared" si="61"/>
        <v>0</v>
      </c>
      <c r="FD20" s="83">
        <f t="array" ref="FD20">IFERROR(IF(BX20+CB20+CD20+CE20+CF20+EN20+IFERROR(SUM(VLOOKUP(B20,'[1]Mar1 Payroll'!$B$9:$FJ$68,{133,137,140,141,144,146,147,148},FALSE)),)&gt;90000,0,IF(BX20+CB20+CD20+CE20+CF20+EN20+IFERROR(SUM(VLOOKUP(B20,'[1]Mar1 Payroll'!$B$9:$EK$68,{133,137,140,141,144,146,147,148},FALSE)),)&lt;90000,EN20+IFERROR(SUM(VLOOKUP(B20,'[1]Mar1 Payroll'!$B$9:$FJ$68,{133,144},FALSE)),),)),)</f>
        <v>479.91666666666669</v>
      </c>
      <c r="FE20" s="83">
        <f>IFERROR(CC20+IFERROR(VLOOKUP(B20,'[1]Mar1 Payroll'!$B$9:$FJ$68,145,FALSE),),0)</f>
        <v>0</v>
      </c>
      <c r="FF20" s="83">
        <f t="array" ref="FF20">IFERROR(IF(BX20+CB20+CD20+CE20+CF20+EN20+IFERROR(SUM(VLOOKUP(B20,'[1]Mar1 Payroll'!$B$9:$FJ$68,{133,137,140,141,144,146,147,148},FALSE)),)&gt;90000,0,IF(BX20+CB20+CD20+CE20+CF20+EN20+IFERROR(SUM(VLOOKUP(B20,'[1]Mar1 Payroll'!$B$9:$EK$68,{133,137,140,141,144,146,147,148},FALSE)),)&lt;90000,CB20+IFERROR(SUM(VLOOKUP(B20,'[1]Mar1 Payroll'!$B$9:$FJ$68,{140,146},FALSE)),))),0)</f>
        <v>0</v>
      </c>
      <c r="FG20" s="83">
        <f t="array" ref="FG20">IFERROR(IF(BX20+CB20+CD20+CE20+CF20+EN20+IFERROR(SUM(VLOOKUP(B20,'[1]Mar1 Payroll'!$B$9:$FJ$68,{133,137,140,141,144,146,147,148},FALSE)),)&gt;90000,0,IF(BX20+CB20+CD20+CE20+CF20+EN20+IFERROR(SUM(VLOOKUP(B20,'[1]Mar1 Payroll'!$B$9:$EK$68,{133,137,140,141,144,146,147,148},FALSE)),)&lt;90000,BX20+IFERROR(SUM(VLOOKUP(B20,'[1]Mar1 Payroll'!$B$9:$FJ$68,{137,147},FALSE)),))),0)</f>
        <v>0</v>
      </c>
      <c r="FH20" s="83">
        <f t="array" ref="FH20">IFERROR(IF(BX20+CB20+CD20+CE20+CF20+EN20+IFERROR(SUM(VLOOKUP(B20,'[1]Mar1 Payroll'!$B$9:$FJ$68,{133,137,140,141,144,146,147,148},FALSE)),)&gt;90000,0,IF(BX20+CB20+CD20+CE20+CF20+EN20+IFERROR(SUM(VLOOKUP(B20,'[1]Mar1 Payroll'!$B$9:$EK$68,{133,137,140,141,144,146,147,148},FALSE)),)&lt;90000,CD20+CE20+CF20+IFERROR(SUM(VLOOKUP(B20,'[1]Mar1 Payroll'!$B$9:$FJ$68,{141,148},FALSE)),))),0)</f>
        <v>0</v>
      </c>
      <c r="FI20" s="83">
        <f t="shared" si="62"/>
        <v>0</v>
      </c>
      <c r="FJ20" s="83">
        <f t="shared" si="63"/>
        <v>6761.2875000000004</v>
      </c>
      <c r="FK20" s="83">
        <f>IFERROR(EJ20+EK20+EL20+IFERROR(VLOOKUP(B20,'[1]Mar1 Payroll'!$B$9:$FJ$68,151,FALSE),),0)</f>
        <v>0</v>
      </c>
      <c r="FL20" s="83">
        <f>IFERROR(CY20+IFERROR(VLOOKUP(B20,'[1]Mar1 Payroll'!$B$9:$FJ$68,152,FALSE),),0)</f>
        <v>10</v>
      </c>
      <c r="FM20" s="83">
        <f>IFERROR(DA20+DB20+IFERROR(VLOOKUP(B20,'[1]Mar1 Payroll'!$B$9:$FJ$68,153,FALSE),),0)</f>
        <v>460.72</v>
      </c>
      <c r="FN20" s="83">
        <f>IFERROR(DD20+DE20+IFERROR(VLOOKUP(B20,'[1]Mar1 Payroll'!$B$9:$FJ$68,154,FALSE),),0)</f>
        <v>200</v>
      </c>
      <c r="FO20" s="83">
        <f>IFERROR(CO20+IFERROR(VLOOKUP(B20,'[1]Mar1 Payroll'!$B$9:$FJ$68,155,FALSE),),0)</f>
        <v>0</v>
      </c>
      <c r="FP20" s="83">
        <f>IFERROR(DZ20+EA20+EF20+IFERROR(VLOOKUP(B20,'[1]Mar1 Payroll'!$B$9:$FJ$68,156,FALSE),),0)</f>
        <v>976</v>
      </c>
      <c r="FQ20" s="83">
        <f>IFERROR(DH20+IFERROR(VLOOKUP(B20,'[1]Mar1 Payroll'!$B$9:$FJ$68,157,FALSE),),0)</f>
        <v>0</v>
      </c>
      <c r="FR20" s="83">
        <f>IFERROR(DI20+IFERROR(VLOOKUP(B20,'[1]Mar1 Payroll'!$B$9:$FJ$68,158,FALSE),),0)</f>
        <v>0</v>
      </c>
      <c r="FS20" s="83">
        <f>IFERROR(DK20+IFERROR(VLOOKUP(B20,'[1]Mar1 Payroll'!$B$9:$FJ$68,159,FALSE),),0)</f>
        <v>0</v>
      </c>
      <c r="FT20" s="83">
        <f>IFERROR(DM20+IFERROR(VLOOKUP(B20,'[1]Mar1 Payroll'!$B$9:$FJ$68,160,FALSE),),0)</f>
        <v>0</v>
      </c>
      <c r="FU20" s="83">
        <f>IFERROR(DN20+IFERROR(VLOOKUP(B20,'[1]Mar1 Payroll'!$B$9:$FJ$68,161,FALSE),),0)</f>
        <v>0</v>
      </c>
      <c r="FV20" s="83">
        <f>IFERROR(DO20+IFERROR(VLOOKUP(B20,'[1]Mar1 Payroll'!$B$9:$FJ$68,162,FALSE),),0)</f>
        <v>0</v>
      </c>
      <c r="FW20" s="83">
        <f>IFERROR(DP20+IFERROR(VLOOKUP(B20,'[1]Mar1 Payroll'!$B$9:$FJ$68,163,FALSE),),0)</f>
        <v>0</v>
      </c>
      <c r="FX20" s="83">
        <f t="shared" si="64"/>
        <v>1646.72</v>
      </c>
      <c r="FY20" s="84">
        <f t="shared" si="65"/>
        <v>8408.0074999999997</v>
      </c>
      <c r="FZ20" s="85"/>
      <c r="GA20" s="105"/>
      <c r="GB20" s="86">
        <f t="shared" si="66"/>
        <v>5759</v>
      </c>
      <c r="GC20" s="83">
        <f t="shared" si="67"/>
        <v>1002.2875</v>
      </c>
      <c r="GD20" s="83">
        <f t="shared" si="68"/>
        <v>0</v>
      </c>
      <c r="GE20" s="83">
        <f t="shared" si="69"/>
        <v>0</v>
      </c>
      <c r="GF20" s="83">
        <f t="shared" si="70"/>
        <v>0</v>
      </c>
      <c r="GG20" s="83">
        <f t="shared" si="71"/>
        <v>0</v>
      </c>
      <c r="GH20" s="83">
        <f t="shared" si="72"/>
        <v>0</v>
      </c>
      <c r="GI20" s="83">
        <f t="shared" si="73"/>
        <v>0</v>
      </c>
      <c r="GJ20" s="83">
        <f t="shared" si="74"/>
        <v>0</v>
      </c>
      <c r="GK20" s="83">
        <f t="shared" si="75"/>
        <v>0</v>
      </c>
      <c r="GL20" s="83">
        <f t="shared" si="76"/>
        <v>0</v>
      </c>
      <c r="GM20" s="83">
        <f t="shared" si="77"/>
        <v>0</v>
      </c>
      <c r="GN20" s="83">
        <f t="shared" si="78"/>
        <v>0</v>
      </c>
      <c r="GO20" s="83">
        <f t="shared" si="79"/>
        <v>479.91666666666669</v>
      </c>
      <c r="GP20" s="83">
        <f t="shared" si="80"/>
        <v>0</v>
      </c>
      <c r="GQ20" s="83">
        <f t="shared" si="81"/>
        <v>0</v>
      </c>
      <c r="GR20" s="83">
        <f t="shared" si="82"/>
        <v>0</v>
      </c>
      <c r="GS20" s="83">
        <f t="shared" si="83"/>
        <v>0</v>
      </c>
      <c r="GT20" s="83">
        <f t="shared" si="84"/>
        <v>0</v>
      </c>
      <c r="GU20" s="83">
        <f t="shared" si="85"/>
        <v>6761.2875000000004</v>
      </c>
      <c r="GV20" s="83">
        <f t="shared" si="86"/>
        <v>0</v>
      </c>
      <c r="GW20" s="83">
        <f t="shared" si="87"/>
        <v>10</v>
      </c>
      <c r="GX20" s="83">
        <f t="shared" si="88"/>
        <v>460.72</v>
      </c>
      <c r="GY20" s="83">
        <f t="shared" si="89"/>
        <v>200</v>
      </c>
      <c r="GZ20" s="83">
        <f t="shared" si="90"/>
        <v>0</v>
      </c>
      <c r="HA20" s="83">
        <f t="shared" si="91"/>
        <v>976</v>
      </c>
      <c r="HB20" s="83">
        <f t="shared" si="92"/>
        <v>0</v>
      </c>
      <c r="HC20" s="83">
        <f t="shared" si="93"/>
        <v>0</v>
      </c>
      <c r="HD20" s="83">
        <f t="shared" si="94"/>
        <v>0</v>
      </c>
      <c r="HE20" s="83">
        <f t="shared" si="95"/>
        <v>0</v>
      </c>
      <c r="HF20" s="83">
        <f t="shared" si="96"/>
        <v>0</v>
      </c>
      <c r="HG20" s="83">
        <f t="shared" si="97"/>
        <v>0</v>
      </c>
      <c r="HH20" s="83">
        <f t="shared" si="98"/>
        <v>0</v>
      </c>
      <c r="HI20" s="83">
        <f t="shared" si="99"/>
        <v>1646.72</v>
      </c>
      <c r="HJ20" s="87">
        <f t="shared" si="100"/>
        <v>8408.0074999999997</v>
      </c>
      <c r="HK20" s="105" t="s">
        <v>172</v>
      </c>
      <c r="HL20" s="88">
        <f t="shared" si="101"/>
        <v>5425.4275000000007</v>
      </c>
      <c r="HM20" s="88">
        <f t="shared" si="102"/>
        <v>0</v>
      </c>
      <c r="HN20" s="88"/>
      <c r="HO20" s="89">
        <v>7</v>
      </c>
      <c r="HP20" s="91">
        <f t="shared" si="103"/>
        <v>5759</v>
      </c>
      <c r="HQ20" s="91">
        <f t="shared" si="104"/>
        <v>6273.2875000000004</v>
      </c>
      <c r="HR20" s="91">
        <f t="shared" si="105"/>
        <v>-847.86000000000058</v>
      </c>
      <c r="HS20" s="91"/>
      <c r="HT20" s="91"/>
      <c r="HU20" s="91"/>
      <c r="HV20" s="91"/>
      <c r="HW20" s="91"/>
      <c r="HX20" s="91"/>
    </row>
    <row r="21" spans="1:233" s="97" customFormat="1" ht="15.75" customHeight="1" thickBot="1" x14ac:dyDescent="0.3">
      <c r="A21" s="217" t="s">
        <v>234</v>
      </c>
      <c r="B21" s="242" t="s">
        <v>228</v>
      </c>
      <c r="C21" s="169" t="s">
        <v>187</v>
      </c>
      <c r="D21" s="183"/>
      <c r="E21" s="169" t="s">
        <v>197</v>
      </c>
      <c r="F21" s="170" t="s">
        <v>194</v>
      </c>
      <c r="G21" s="171" t="s">
        <v>170</v>
      </c>
      <c r="H21" s="223">
        <v>11518</v>
      </c>
      <c r="I21" s="172">
        <f t="shared" si="0"/>
        <v>0</v>
      </c>
      <c r="J21" s="175">
        <v>13</v>
      </c>
      <c r="K21" s="251">
        <v>12</v>
      </c>
      <c r="L21" s="180">
        <f t="shared" si="1"/>
        <v>443</v>
      </c>
      <c r="M21" s="180">
        <f t="shared" si="2"/>
        <v>55.375</v>
      </c>
      <c r="N21" s="180">
        <f t="shared" si="3"/>
        <v>0.92291666666666672</v>
      </c>
      <c r="O21" s="174">
        <f t="shared" si="4"/>
        <v>5759</v>
      </c>
      <c r="P21" s="175">
        <v>45</v>
      </c>
      <c r="Q21" s="174">
        <f t="shared" si="5"/>
        <v>3114.84375</v>
      </c>
      <c r="R21" s="175"/>
      <c r="S21" s="174">
        <f t="shared" si="107"/>
        <v>0</v>
      </c>
      <c r="T21" s="171"/>
      <c r="U21" s="174">
        <f t="shared" si="6"/>
        <v>0</v>
      </c>
      <c r="V21" s="173">
        <f t="shared" si="7"/>
        <v>0</v>
      </c>
      <c r="W21" s="173">
        <f t="shared" si="8"/>
        <v>0</v>
      </c>
      <c r="X21" s="171"/>
      <c r="Y21" s="174">
        <f t="shared" si="9"/>
        <v>0</v>
      </c>
      <c r="Z21" s="171"/>
      <c r="AA21" s="174">
        <f t="shared" si="10"/>
        <v>0</v>
      </c>
      <c r="AB21" s="171"/>
      <c r="AC21" s="174">
        <f t="shared" si="11"/>
        <v>0</v>
      </c>
      <c r="AD21" s="171"/>
      <c r="AE21" s="174">
        <f t="shared" si="12"/>
        <v>0</v>
      </c>
      <c r="AF21" s="175"/>
      <c r="AG21" s="174">
        <f t="shared" si="13"/>
        <v>0</v>
      </c>
      <c r="AH21" s="171"/>
      <c r="AI21" s="174">
        <f t="shared" si="14"/>
        <v>0</v>
      </c>
      <c r="AJ21" s="171"/>
      <c r="AK21" s="174">
        <f t="shared" si="15"/>
        <v>0</v>
      </c>
      <c r="AL21" s="171"/>
      <c r="AM21" s="174">
        <f t="shared" si="16"/>
        <v>0</v>
      </c>
      <c r="AN21" s="173">
        <f t="shared" si="17"/>
        <v>0</v>
      </c>
      <c r="AO21" s="173">
        <f t="shared" si="18"/>
        <v>0</v>
      </c>
      <c r="AP21" s="171"/>
      <c r="AQ21" s="174">
        <f t="shared" si="19"/>
        <v>0</v>
      </c>
      <c r="AR21" s="171">
        <v>32</v>
      </c>
      <c r="AS21" s="174">
        <f t="shared" si="20"/>
        <v>221.5</v>
      </c>
      <c r="AT21" s="171"/>
      <c r="AU21" s="174">
        <f t="shared" si="21"/>
        <v>0</v>
      </c>
      <c r="AV21" s="171"/>
      <c r="AW21" s="228">
        <f t="shared" si="22"/>
        <v>0</v>
      </c>
      <c r="AX21" s="171"/>
      <c r="AY21" s="174">
        <f t="shared" si="23"/>
        <v>0</v>
      </c>
      <c r="AZ21" s="171"/>
      <c r="BA21" s="174">
        <f t="shared" si="24"/>
        <v>0</v>
      </c>
      <c r="BB21" s="171"/>
      <c r="BC21" s="174">
        <f t="shared" si="25"/>
        <v>0</v>
      </c>
      <c r="BD21" s="171"/>
      <c r="BE21" s="174">
        <f t="shared" si="26"/>
        <v>0</v>
      </c>
      <c r="BF21" s="171"/>
      <c r="BG21" s="174">
        <f t="shared" si="27"/>
        <v>0</v>
      </c>
      <c r="BH21" s="171"/>
      <c r="BI21" s="174">
        <f t="shared" si="28"/>
        <v>0</v>
      </c>
      <c r="BJ21" s="176">
        <f t="shared" si="29"/>
        <v>32</v>
      </c>
      <c r="BK21" s="173">
        <f t="shared" si="30"/>
        <v>221.5</v>
      </c>
      <c r="BL21" s="171"/>
      <c r="BM21" s="174"/>
      <c r="BN21" s="174"/>
      <c r="BO21" s="171"/>
      <c r="BP21" s="171"/>
      <c r="BQ21" s="171"/>
      <c r="BR21" s="171"/>
      <c r="BS21" s="174">
        <f t="shared" si="31"/>
        <v>0</v>
      </c>
      <c r="BT21" s="174">
        <f t="shared" si="32"/>
        <v>0</v>
      </c>
      <c r="BU21" s="173">
        <f t="shared" si="33"/>
        <v>0</v>
      </c>
      <c r="BV21" s="173">
        <f t="shared" si="34"/>
        <v>0</v>
      </c>
      <c r="BW21" s="171"/>
      <c r="BX21" s="171"/>
      <c r="BY21" s="171"/>
      <c r="BZ21" s="171"/>
      <c r="CA21" s="171"/>
      <c r="CB21" s="171"/>
      <c r="CC21" s="171"/>
      <c r="CD21" s="171"/>
      <c r="CE21" s="171"/>
      <c r="CF21" s="171"/>
      <c r="CG21" s="171"/>
      <c r="CH21" s="174">
        <f t="shared" si="35"/>
        <v>0</v>
      </c>
      <c r="CI21" s="175"/>
      <c r="CJ21" s="174">
        <f t="shared" si="36"/>
        <v>0</v>
      </c>
      <c r="CK21" s="175"/>
      <c r="CL21" s="174">
        <f t="shared" si="37"/>
        <v>0</v>
      </c>
      <c r="CM21" s="171">
        <f t="shared" si="38"/>
        <v>1</v>
      </c>
      <c r="CN21" s="177">
        <f t="shared" si="39"/>
        <v>-443</v>
      </c>
      <c r="CO21" s="173">
        <f t="shared" si="40"/>
        <v>-443</v>
      </c>
      <c r="CP21" s="176">
        <f t="shared" si="41"/>
        <v>8652.34375</v>
      </c>
      <c r="CQ21" s="187" t="str">
        <f>_xlfn.IFNA(VLOOKUP(B21,'[1]201'!$E$7:$H$66,2,FALSE),"")</f>
        <v/>
      </c>
      <c r="CR21" s="187" t="str">
        <f>_xlfn.IFNA(VLOOKUP(B21,'[1]201'!$E$7:$H$66,3,FALSE),"")</f>
        <v/>
      </c>
      <c r="CS21" s="187" t="str">
        <f>_xlfn.IFNA(VLOOKUP(B21,'[1]201'!$E$7:$H$66,4,FALSE),"")</f>
        <v/>
      </c>
      <c r="CT21" s="179"/>
      <c r="CU21" s="179"/>
      <c r="CV21" s="179"/>
      <c r="CW21" s="180">
        <v>517.5</v>
      </c>
      <c r="CX21" s="181">
        <v>1092.5</v>
      </c>
      <c r="CY21" s="182">
        <v>10</v>
      </c>
      <c r="CZ21" s="176">
        <f t="shared" si="42"/>
        <v>1620</v>
      </c>
      <c r="DA21" s="181">
        <f t="shared" si="43"/>
        <v>230.36</v>
      </c>
      <c r="DB21" s="182">
        <f t="shared" si="44"/>
        <v>230.36</v>
      </c>
      <c r="DC21" s="176">
        <f t="shared" si="45"/>
        <v>460.72</v>
      </c>
      <c r="DD21" s="181">
        <v>100</v>
      </c>
      <c r="DE21" s="182">
        <v>100</v>
      </c>
      <c r="DF21" s="176">
        <f t="shared" si="46"/>
        <v>200</v>
      </c>
      <c r="DG21" s="176">
        <f t="shared" si="106"/>
        <v>847.86</v>
      </c>
      <c r="DH21" s="183"/>
      <c r="DI21" s="183"/>
      <c r="DJ21" s="183"/>
      <c r="DK21" s="183"/>
      <c r="DL21" s="176">
        <f t="shared" si="47"/>
        <v>0</v>
      </c>
      <c r="DM21" s="183"/>
      <c r="DN21" s="183"/>
      <c r="DO21" s="183"/>
      <c r="DP21" s="183"/>
      <c r="DQ21" s="172">
        <f t="shared" si="48"/>
        <v>0</v>
      </c>
      <c r="DR21" s="179"/>
      <c r="DS21" s="179"/>
      <c r="DT21" s="175"/>
      <c r="DU21" s="179"/>
      <c r="DV21" s="179"/>
      <c r="DW21" s="220"/>
      <c r="DX21" s="218"/>
      <c r="DY21" s="173">
        <f t="shared" si="49"/>
        <v>0</v>
      </c>
      <c r="DZ21" s="179">
        <v>153.30000000000001</v>
      </c>
      <c r="EA21" s="215"/>
      <c r="EB21" s="215"/>
      <c r="EC21" s="215"/>
      <c r="ED21" s="179"/>
      <c r="EE21" s="184"/>
      <c r="EF21" s="185">
        <f t="shared" si="50"/>
        <v>153.30000000000001</v>
      </c>
      <c r="EG21" s="176">
        <f t="shared" si="51"/>
        <v>1001.1600000000001</v>
      </c>
      <c r="EH21" s="176">
        <f t="shared" si="52"/>
        <v>7651.1837500000001</v>
      </c>
      <c r="EI21" s="176">
        <f t="shared" si="53"/>
        <v>9943.2037500000006</v>
      </c>
      <c r="EJ21" s="176">
        <f t="shared" si="54"/>
        <v>0</v>
      </c>
      <c r="EK21" s="176">
        <f t="shared" si="55"/>
        <v>0</v>
      </c>
      <c r="EL21" s="176">
        <f t="shared" si="56"/>
        <v>0</v>
      </c>
      <c r="EM21" s="176">
        <f t="shared" si="57"/>
        <v>7651.1837500000001</v>
      </c>
      <c r="EN21" s="172">
        <f t="shared" si="58"/>
        <v>443</v>
      </c>
      <c r="EO21" s="234" t="s">
        <v>234</v>
      </c>
      <c r="EP21" s="214">
        <f t="shared" si="59"/>
        <v>443</v>
      </c>
      <c r="EQ21" s="83">
        <f>IFERROR(O21+IFERROR(VLOOKUP(B21,'[1]Mar1 Payroll'!$B$9:$FJ$68,131,FALSE),),0)</f>
        <v>5759</v>
      </c>
      <c r="ER21" s="83">
        <f>IFERROR(Q21+W21+AO21+BK21+BL21+IFERROR(VLOOKUP(B21,'[1]Mar1 Payroll'!$B$9:$FJ$68,132,FALSE),),)</f>
        <v>3336.34375</v>
      </c>
      <c r="ES21" s="83">
        <f t="array" ref="ES21">IFERROR(IF(BX21+CB21+CD21+CE21+CF21+EN21+IFERROR(SUM(VLOOKUP(B21,'[1]Mar1 Payroll'!$B$9:$FJ$68,{133,137,140,141,144,146,147,148},FALSE)),)&gt;90000,EN21+IFERROR(SUM(VLOOKUP(B21,'[1]Mar1 Payroll'!$B$9:$FJ$68,{133,144},FALSE)),),IF(BX21+CB21+CD21+CE21+CF21+EN21+IFERROR(SUM(VLOOKUP(B21,'[1]Mar1 Payroll'!$B$9:$EK$68,{133,137,140,141,144,146,147,148},FALSE)),)&lt;90000,0,0)),0)</f>
        <v>0</v>
      </c>
      <c r="ET21" s="83">
        <f>IFERROR(BW21+IFERROR(VLOOKUP(B21,'[1]Mar1 Payroll'!$B$9:$FJ$68,134,FALSE),),0)</f>
        <v>0</v>
      </c>
      <c r="EU21" s="83">
        <f>IFERROR(BU21+IFERROR(VLOOKUP(B21,'[1]Mar1 Payroll'!$B$9:$FJ$68,135,FALSE),),0)</f>
        <v>0</v>
      </c>
      <c r="EV21" s="83">
        <f>IFERROR(BV21+IFERROR(VLOOKUP(B21,'[1]Mar1 Payroll'!$B$9:$FJ$68,136,FALSE),),0)</f>
        <v>0</v>
      </c>
      <c r="EW21" s="83">
        <f t="array" ref="EW21">IFERROR(IF(BX21+CB21+CD21+CE21+CF21+EN21+IFERROR(SUM(VLOOKUP(B21,'[1]Mar1 Payroll'!$B$9:$FJ$68,{133,137,140,141,144,146,147,148},FALSE)),)&gt;90000,BX21+IFERROR(SUM(VLOOKUP(B21,'[1]Mar1 Payroll'!$B$9:$FJ$68,{137,147},FALSE)),),IF(BX21+CB21+CD21+CE21+CF21+EN21+IFERROR(SUM(VLOOKUP(B21,'[1]Mar1 Payroll'!$B$9:$EK$68,{133,137,140,141,144,146,147,148},FALSE)),)&lt;90000,0,0)),0)</f>
        <v>0</v>
      </c>
      <c r="EX21" s="83">
        <f>IFERROR(BY21+IFERROR(VLOOKUP(B21,'[1]Mar1 Payroll'!$B$9:$FJ$68,138,FALSE),),0)</f>
        <v>0</v>
      </c>
      <c r="EY21" s="83">
        <f>IFERROR(BZ21+IFERROR(VLOOKUP(B21,'[1]Mar1 Payroll'!$B$9:$FJ$68,139,FALSE),),0)</f>
        <v>0</v>
      </c>
      <c r="EZ21" s="83">
        <f t="array" ref="EZ21">IFERROR(IF(BX21+CB21+CD21+CE21+CF21+EN21+IFERROR(SUM(VLOOKUP(B21,'[1]Mar1 Payroll'!$B$9:$FJ$68,{133,137,140,141,144,146,147,148},FALSE)),)&gt;90000,CB21+IFERROR(SUM(VLOOKUP(B21,'[1]Mar1 Payroll'!$B$9:$FJ$68,{140,146},FALSE)),),IF(BX21+CB21+CD21+CE21+CF21+EN21+IFERROR(SUM(VLOOKUP(B21,'[1]Mar1 Payroll'!$B$9:$EK$68,{133,137,140,141,144,146,147,148},FALSE)),)&lt;90000,0,0)),0)</f>
        <v>0</v>
      </c>
      <c r="FA21" s="83">
        <f t="array" ref="FA21">IFERROR(IF(BX21+CB21+CD21+CE21+CF21+EN21+IFERROR(SUM(VLOOKUP(B21,'[1]Mar1 Payroll'!$B$9:$FJ$68,{133,137,140,141,144,146,147,148},FALSE)),)&gt;90000,CD21+CE21+CF21+IFERROR(SUM(VLOOKUP(B21,'[1]Mar1 Payroll'!$B$9:$FJ$68,{141,148},FALSE)),),IF(BX21+CB21+CD21+CE21+CF21+EN21+IFERROR(SUM(VLOOKUP(B21,'[1]Mar1 Payroll'!$B$9:$EK$68,{133,137,140,141,144,146,147,148},FALSE)),)&lt;90000,0,0)),0)</f>
        <v>0</v>
      </c>
      <c r="FB21" s="83">
        <f t="shared" si="60"/>
        <v>0</v>
      </c>
      <c r="FC21" s="83">
        <f t="shared" si="61"/>
        <v>0</v>
      </c>
      <c r="FD21" s="83">
        <f t="array" ref="FD21">IFERROR(IF(BX21+CB21+CD21+CE21+CF21+EN21+IFERROR(SUM(VLOOKUP(B21,'[1]Mar1 Payroll'!$B$9:$FJ$68,{133,137,140,141,144,146,147,148},FALSE)),)&gt;90000,0,IF(BX21+CB21+CD21+CE21+CF21+EN21+IFERROR(SUM(VLOOKUP(B21,'[1]Mar1 Payroll'!$B$9:$EK$68,{133,137,140,141,144,146,147,148},FALSE)),)&lt;90000,EN21+IFERROR(SUM(VLOOKUP(B21,'[1]Mar1 Payroll'!$B$9:$FJ$68,{133,144},FALSE)),),)),)</f>
        <v>443</v>
      </c>
      <c r="FE21" s="83">
        <f>IFERROR(CC21+IFERROR(VLOOKUP(B21,'[1]Mar1 Payroll'!$B$9:$FJ$68,145,FALSE),),0)</f>
        <v>0</v>
      </c>
      <c r="FF21" s="83">
        <f t="array" ref="FF21">IFERROR(IF(BX21+CB21+CD21+CE21+CF21+EN21+IFERROR(SUM(VLOOKUP(B21,'[1]Mar1 Payroll'!$B$9:$FJ$68,{133,137,140,141,144,146,147,148},FALSE)),)&gt;90000,0,IF(BX21+CB21+CD21+CE21+CF21+EN21+IFERROR(SUM(VLOOKUP(B21,'[1]Mar1 Payroll'!$B$9:$EK$68,{133,137,140,141,144,146,147,148},FALSE)),)&lt;90000,CB21+IFERROR(SUM(VLOOKUP(B21,'[1]Mar1 Payroll'!$B$9:$FJ$68,{140,146},FALSE)),))),0)</f>
        <v>0</v>
      </c>
      <c r="FG21" s="83">
        <f t="array" ref="FG21">IFERROR(IF(BX21+CB21+CD21+CE21+CF21+EN21+IFERROR(SUM(VLOOKUP(B21,'[1]Mar1 Payroll'!$B$9:$FJ$68,{133,137,140,141,144,146,147,148},FALSE)),)&gt;90000,0,IF(BX21+CB21+CD21+CE21+CF21+EN21+IFERROR(SUM(VLOOKUP(B21,'[1]Mar1 Payroll'!$B$9:$EK$68,{133,137,140,141,144,146,147,148},FALSE)),)&lt;90000,BX21+IFERROR(SUM(VLOOKUP(B21,'[1]Mar1 Payroll'!$B$9:$FJ$68,{137,147},FALSE)),))),0)</f>
        <v>0</v>
      </c>
      <c r="FH21" s="83">
        <f t="array" ref="FH21">IFERROR(IF(BX21+CB21+CD21+CE21+CF21+EN21+IFERROR(SUM(VLOOKUP(B21,'[1]Mar1 Payroll'!$B$9:$FJ$68,{133,137,140,141,144,146,147,148},FALSE)),)&gt;90000,0,IF(BX21+CB21+CD21+CE21+CF21+EN21+IFERROR(SUM(VLOOKUP(B21,'[1]Mar1 Payroll'!$B$9:$EK$68,{133,137,140,141,144,146,147,148},FALSE)),)&lt;90000,CD21+CE21+CF21+IFERROR(SUM(VLOOKUP(B21,'[1]Mar1 Payroll'!$B$9:$FJ$68,{141,148},FALSE)),))),0)</f>
        <v>0</v>
      </c>
      <c r="FI21" s="83">
        <f t="shared" si="62"/>
        <v>0</v>
      </c>
      <c r="FJ21" s="83">
        <f t="shared" si="63"/>
        <v>9095.34375</v>
      </c>
      <c r="FK21" s="83">
        <f>IFERROR(EJ21+EK21+EL21+IFERROR(VLOOKUP(B21,'[1]Mar1 Payroll'!$B$9:$FJ$68,151,FALSE),),0)</f>
        <v>0</v>
      </c>
      <c r="FL21" s="83">
        <f>IFERROR(CY21+IFERROR(VLOOKUP(B21,'[1]Mar1 Payroll'!$B$9:$FJ$68,152,FALSE),),0)</f>
        <v>10</v>
      </c>
      <c r="FM21" s="83">
        <f>IFERROR(DA21+DB21+IFERROR(VLOOKUP(B21,'[1]Mar1 Payroll'!$B$9:$FJ$68,153,FALSE),),0)</f>
        <v>460.72</v>
      </c>
      <c r="FN21" s="83">
        <f>IFERROR(DD21+DE21+IFERROR(VLOOKUP(B21,'[1]Mar1 Payroll'!$B$9:$FJ$68,154,FALSE),),0)</f>
        <v>200</v>
      </c>
      <c r="FO21" s="83">
        <f>IFERROR(CO21+IFERROR(VLOOKUP(B21,'[1]Mar1 Payroll'!$B$9:$FJ$68,155,FALSE),),0)</f>
        <v>-443</v>
      </c>
      <c r="FP21" s="83">
        <f>IFERROR(DZ21+EA21+EF21+IFERROR(VLOOKUP(B21,'[1]Mar1 Payroll'!$B$9:$FJ$68,156,FALSE),),0)</f>
        <v>306.60000000000002</v>
      </c>
      <c r="FQ21" s="83">
        <f>IFERROR(DH21+IFERROR(VLOOKUP(B21,'[1]Mar1 Payroll'!$B$9:$FJ$68,157,FALSE),),0)</f>
        <v>0</v>
      </c>
      <c r="FR21" s="83">
        <f>IFERROR(DI21+IFERROR(VLOOKUP(B21,'[1]Mar1 Payroll'!$B$9:$FJ$68,158,FALSE),),0)</f>
        <v>0</v>
      </c>
      <c r="FS21" s="83">
        <f>IFERROR(DK21+IFERROR(VLOOKUP(B21,'[1]Mar1 Payroll'!$B$9:$FJ$68,159,FALSE),),0)</f>
        <v>0</v>
      </c>
      <c r="FT21" s="83">
        <f>IFERROR(DM21+IFERROR(VLOOKUP(B21,'[1]Mar1 Payroll'!$B$9:$FJ$68,160,FALSE),),0)</f>
        <v>0</v>
      </c>
      <c r="FU21" s="83">
        <f>IFERROR(DN21+IFERROR(VLOOKUP(B21,'[1]Mar1 Payroll'!$B$9:$FJ$68,161,FALSE),),0)</f>
        <v>0</v>
      </c>
      <c r="FV21" s="83">
        <f>IFERROR(DO21+IFERROR(VLOOKUP(B21,'[1]Mar1 Payroll'!$B$9:$FJ$68,162,FALSE),),0)</f>
        <v>0</v>
      </c>
      <c r="FW21" s="83">
        <f>IFERROR(DP21+IFERROR(VLOOKUP(B21,'[1]Mar1 Payroll'!$B$9:$FJ$68,163,FALSE),),0)</f>
        <v>0</v>
      </c>
      <c r="FX21" s="83">
        <f t="shared" si="64"/>
        <v>534.32000000000005</v>
      </c>
      <c r="FY21" s="84">
        <f t="shared" si="65"/>
        <v>9629.6637499999997</v>
      </c>
      <c r="FZ21" s="85"/>
      <c r="GA21" s="105"/>
      <c r="GB21" s="86">
        <f t="shared" si="66"/>
        <v>5759</v>
      </c>
      <c r="GC21" s="83">
        <f t="shared" si="67"/>
        <v>3336.34375</v>
      </c>
      <c r="GD21" s="83">
        <f t="shared" si="68"/>
        <v>0</v>
      </c>
      <c r="GE21" s="83">
        <f t="shared" si="69"/>
        <v>0</v>
      </c>
      <c r="GF21" s="83">
        <f t="shared" si="70"/>
        <v>0</v>
      </c>
      <c r="GG21" s="83">
        <f t="shared" si="71"/>
        <v>0</v>
      </c>
      <c r="GH21" s="83">
        <f t="shared" si="72"/>
        <v>0</v>
      </c>
      <c r="GI21" s="83">
        <f t="shared" si="73"/>
        <v>0</v>
      </c>
      <c r="GJ21" s="83">
        <f t="shared" si="74"/>
        <v>0</v>
      </c>
      <c r="GK21" s="83">
        <f t="shared" si="75"/>
        <v>0</v>
      </c>
      <c r="GL21" s="83">
        <f t="shared" si="76"/>
        <v>0</v>
      </c>
      <c r="GM21" s="83">
        <f t="shared" si="77"/>
        <v>0</v>
      </c>
      <c r="GN21" s="83">
        <f t="shared" si="78"/>
        <v>0</v>
      </c>
      <c r="GO21" s="83">
        <f t="shared" si="79"/>
        <v>443</v>
      </c>
      <c r="GP21" s="83">
        <f t="shared" si="80"/>
        <v>0</v>
      </c>
      <c r="GQ21" s="83">
        <f t="shared" si="81"/>
        <v>0</v>
      </c>
      <c r="GR21" s="83">
        <f t="shared" si="82"/>
        <v>0</v>
      </c>
      <c r="GS21" s="83">
        <f t="shared" si="83"/>
        <v>0</v>
      </c>
      <c r="GT21" s="83">
        <f t="shared" si="84"/>
        <v>0</v>
      </c>
      <c r="GU21" s="83">
        <f t="shared" si="85"/>
        <v>9095.34375</v>
      </c>
      <c r="GV21" s="83">
        <f t="shared" si="86"/>
        <v>0</v>
      </c>
      <c r="GW21" s="83">
        <f t="shared" si="87"/>
        <v>10</v>
      </c>
      <c r="GX21" s="83">
        <f t="shared" si="88"/>
        <v>460.72</v>
      </c>
      <c r="GY21" s="83">
        <f t="shared" si="89"/>
        <v>200</v>
      </c>
      <c r="GZ21" s="83">
        <f t="shared" si="90"/>
        <v>-443</v>
      </c>
      <c r="HA21" s="83">
        <f t="shared" si="91"/>
        <v>306.60000000000002</v>
      </c>
      <c r="HB21" s="83">
        <f t="shared" si="92"/>
        <v>0</v>
      </c>
      <c r="HC21" s="83">
        <f t="shared" si="93"/>
        <v>0</v>
      </c>
      <c r="HD21" s="83">
        <f t="shared" si="94"/>
        <v>0</v>
      </c>
      <c r="HE21" s="83">
        <f t="shared" si="95"/>
        <v>0</v>
      </c>
      <c r="HF21" s="83">
        <f t="shared" si="96"/>
        <v>0</v>
      </c>
      <c r="HG21" s="83">
        <f t="shared" si="97"/>
        <v>0</v>
      </c>
      <c r="HH21" s="83">
        <f t="shared" si="98"/>
        <v>0</v>
      </c>
      <c r="HI21" s="83">
        <f t="shared" si="99"/>
        <v>534.32000000000005</v>
      </c>
      <c r="HJ21" s="87">
        <f t="shared" si="100"/>
        <v>9629.6637499999997</v>
      </c>
      <c r="HK21" s="105" t="s">
        <v>172</v>
      </c>
      <c r="HL21" s="88">
        <f t="shared" si="101"/>
        <v>7651.1837500000001</v>
      </c>
      <c r="HM21" s="88">
        <f t="shared" si="102"/>
        <v>0</v>
      </c>
      <c r="HN21" s="88"/>
      <c r="HO21" s="89">
        <v>7</v>
      </c>
      <c r="HP21" s="91">
        <f t="shared" si="103"/>
        <v>5316</v>
      </c>
      <c r="HQ21" s="91">
        <f t="shared" si="104"/>
        <v>8499.0437500000007</v>
      </c>
      <c r="HR21" s="91">
        <f t="shared" si="105"/>
        <v>-847.86000000000058</v>
      </c>
      <c r="HS21" s="91"/>
      <c r="HT21" s="91"/>
      <c r="HU21" s="91"/>
      <c r="HV21" s="91"/>
      <c r="HW21" s="91"/>
      <c r="HX21" s="91"/>
    </row>
    <row r="22" spans="1:233" s="97" customFormat="1" ht="15.75" customHeight="1" thickBot="1" x14ac:dyDescent="0.3">
      <c r="A22" s="217" t="s">
        <v>235</v>
      </c>
      <c r="B22" s="242" t="s">
        <v>230</v>
      </c>
      <c r="C22" s="169" t="s">
        <v>187</v>
      </c>
      <c r="D22" s="183"/>
      <c r="E22" s="169" t="s">
        <v>197</v>
      </c>
      <c r="F22" s="170" t="s">
        <v>194</v>
      </c>
      <c r="G22" s="171" t="s">
        <v>170</v>
      </c>
      <c r="H22" s="223">
        <v>11518</v>
      </c>
      <c r="I22" s="172">
        <f t="shared" si="0"/>
        <v>0</v>
      </c>
      <c r="J22" s="175">
        <v>13</v>
      </c>
      <c r="K22" s="251">
        <v>11</v>
      </c>
      <c r="L22" s="180">
        <f t="shared" si="1"/>
        <v>443</v>
      </c>
      <c r="M22" s="180">
        <f t="shared" si="2"/>
        <v>55.375</v>
      </c>
      <c r="N22" s="180">
        <f t="shared" si="3"/>
        <v>0.92291666666666672</v>
      </c>
      <c r="O22" s="174">
        <f t="shared" si="4"/>
        <v>5759</v>
      </c>
      <c r="P22" s="175">
        <v>42</v>
      </c>
      <c r="Q22" s="174">
        <f t="shared" si="5"/>
        <v>2907.1875</v>
      </c>
      <c r="R22" s="175"/>
      <c r="S22" s="174">
        <f t="shared" si="107"/>
        <v>0</v>
      </c>
      <c r="T22" s="171"/>
      <c r="U22" s="174">
        <f t="shared" si="6"/>
        <v>0</v>
      </c>
      <c r="V22" s="173">
        <f t="shared" si="7"/>
        <v>0</v>
      </c>
      <c r="W22" s="173">
        <f t="shared" si="8"/>
        <v>0</v>
      </c>
      <c r="X22" s="171"/>
      <c r="Y22" s="174">
        <f t="shared" si="9"/>
        <v>0</v>
      </c>
      <c r="Z22" s="252"/>
      <c r="AA22" s="174">
        <f t="shared" si="10"/>
        <v>0</v>
      </c>
      <c r="AB22" s="171"/>
      <c r="AC22" s="174">
        <f t="shared" si="11"/>
        <v>0</v>
      </c>
      <c r="AD22" s="171"/>
      <c r="AE22" s="174">
        <f t="shared" si="12"/>
        <v>0</v>
      </c>
      <c r="AF22" s="175"/>
      <c r="AG22" s="174">
        <f t="shared" si="13"/>
        <v>0</v>
      </c>
      <c r="AH22" s="171"/>
      <c r="AI22" s="174">
        <f t="shared" si="14"/>
        <v>0</v>
      </c>
      <c r="AJ22" s="171"/>
      <c r="AK22" s="174">
        <f t="shared" si="15"/>
        <v>0</v>
      </c>
      <c r="AL22" s="171"/>
      <c r="AM22" s="174">
        <f t="shared" si="16"/>
        <v>0</v>
      </c>
      <c r="AN22" s="173">
        <f t="shared" si="17"/>
        <v>0</v>
      </c>
      <c r="AO22" s="173">
        <f t="shared" si="18"/>
        <v>0</v>
      </c>
      <c r="AP22" s="171">
        <v>12</v>
      </c>
      <c r="AQ22" s="174">
        <f t="shared" si="19"/>
        <v>66.45</v>
      </c>
      <c r="AR22" s="171">
        <v>24</v>
      </c>
      <c r="AS22" s="174">
        <f t="shared" si="20"/>
        <v>166.125</v>
      </c>
      <c r="AT22" s="171"/>
      <c r="AU22" s="174">
        <f t="shared" si="21"/>
        <v>0</v>
      </c>
      <c r="AV22" s="171"/>
      <c r="AW22" s="228">
        <f t="shared" si="22"/>
        <v>0</v>
      </c>
      <c r="AX22" s="171"/>
      <c r="AY22" s="174">
        <f t="shared" si="23"/>
        <v>0</v>
      </c>
      <c r="AZ22" s="171"/>
      <c r="BA22" s="174">
        <f t="shared" si="24"/>
        <v>0</v>
      </c>
      <c r="BB22" s="171"/>
      <c r="BC22" s="174">
        <f t="shared" si="25"/>
        <v>0</v>
      </c>
      <c r="BD22" s="171"/>
      <c r="BE22" s="174">
        <f t="shared" si="26"/>
        <v>0</v>
      </c>
      <c r="BF22" s="171"/>
      <c r="BG22" s="174">
        <f t="shared" si="27"/>
        <v>0</v>
      </c>
      <c r="BH22" s="171"/>
      <c r="BI22" s="174">
        <f t="shared" si="28"/>
        <v>0</v>
      </c>
      <c r="BJ22" s="176">
        <f t="shared" si="29"/>
        <v>36</v>
      </c>
      <c r="BK22" s="173">
        <f t="shared" si="30"/>
        <v>232.57499999999999</v>
      </c>
      <c r="BL22" s="171"/>
      <c r="BM22" s="174"/>
      <c r="BN22" s="174"/>
      <c r="BO22" s="171"/>
      <c r="BP22" s="171"/>
      <c r="BQ22" s="171"/>
      <c r="BR22" s="171"/>
      <c r="BS22" s="174">
        <f t="shared" si="31"/>
        <v>0</v>
      </c>
      <c r="BT22" s="174">
        <f t="shared" si="32"/>
        <v>0</v>
      </c>
      <c r="BU22" s="173">
        <f t="shared" si="33"/>
        <v>0</v>
      </c>
      <c r="BV22" s="173">
        <f t="shared" si="34"/>
        <v>0</v>
      </c>
      <c r="BW22" s="171"/>
      <c r="BX22" s="171"/>
      <c r="BY22" s="171"/>
      <c r="BZ22" s="171"/>
      <c r="CA22" s="171"/>
      <c r="CB22" s="171"/>
      <c r="CC22" s="171"/>
      <c r="CD22" s="171"/>
      <c r="CE22" s="171"/>
      <c r="CF22" s="171"/>
      <c r="CG22" s="171"/>
      <c r="CH22" s="174">
        <f t="shared" si="35"/>
        <v>0</v>
      </c>
      <c r="CI22" s="175">
        <v>240</v>
      </c>
      <c r="CJ22" s="174">
        <f t="shared" si="36"/>
        <v>-221.5</v>
      </c>
      <c r="CK22" s="175"/>
      <c r="CL22" s="174">
        <f t="shared" si="37"/>
        <v>0</v>
      </c>
      <c r="CM22" s="171">
        <f t="shared" si="38"/>
        <v>2</v>
      </c>
      <c r="CN22" s="177">
        <f t="shared" si="39"/>
        <v>-886</v>
      </c>
      <c r="CO22" s="173">
        <f t="shared" si="40"/>
        <v>-1107.5</v>
      </c>
      <c r="CP22" s="176">
        <f t="shared" si="41"/>
        <v>7791.2625000000007</v>
      </c>
      <c r="CQ22" s="187" t="str">
        <f>_xlfn.IFNA(VLOOKUP(B22,'[1]201'!$E$7:$H$66,2,FALSE),"")</f>
        <v/>
      </c>
      <c r="CR22" s="187" t="str">
        <f>_xlfn.IFNA(VLOOKUP(B22,'[1]201'!$E$7:$H$66,3,FALSE),"")</f>
        <v/>
      </c>
      <c r="CS22" s="187" t="str">
        <f>_xlfn.IFNA(VLOOKUP(B22,'[1]201'!$E$7:$H$66,4,FALSE),"")</f>
        <v/>
      </c>
      <c r="CT22" s="179"/>
      <c r="CU22" s="179"/>
      <c r="CV22" s="179"/>
      <c r="CW22" s="180">
        <v>517.5</v>
      </c>
      <c r="CX22" s="181">
        <v>1092.5</v>
      </c>
      <c r="CY22" s="182">
        <v>10</v>
      </c>
      <c r="CZ22" s="176">
        <f t="shared" si="42"/>
        <v>1620</v>
      </c>
      <c r="DA22" s="181">
        <f t="shared" si="43"/>
        <v>230.36</v>
      </c>
      <c r="DB22" s="182">
        <f t="shared" si="44"/>
        <v>230.36</v>
      </c>
      <c r="DC22" s="176">
        <f t="shared" si="45"/>
        <v>460.72</v>
      </c>
      <c r="DD22" s="181">
        <v>100</v>
      </c>
      <c r="DE22" s="182">
        <v>100</v>
      </c>
      <c r="DF22" s="176">
        <f t="shared" si="46"/>
        <v>200</v>
      </c>
      <c r="DG22" s="176">
        <f t="shared" si="106"/>
        <v>847.86</v>
      </c>
      <c r="DH22" s="215"/>
      <c r="DI22" s="183"/>
      <c r="DJ22" s="183"/>
      <c r="DK22" s="183"/>
      <c r="DL22" s="176">
        <f t="shared" si="47"/>
        <v>0</v>
      </c>
      <c r="DM22" s="183"/>
      <c r="DN22" s="183"/>
      <c r="DO22" s="183"/>
      <c r="DP22" s="183"/>
      <c r="DQ22" s="172">
        <f t="shared" si="48"/>
        <v>0</v>
      </c>
      <c r="DR22" s="179"/>
      <c r="DS22" s="179"/>
      <c r="DT22" s="175"/>
      <c r="DU22" s="179"/>
      <c r="DV22" s="179"/>
      <c r="DW22" s="220"/>
      <c r="DX22" s="218"/>
      <c r="DY22" s="173">
        <f t="shared" si="49"/>
        <v>0</v>
      </c>
      <c r="DZ22" s="179">
        <v>53.3</v>
      </c>
      <c r="EA22" s="215">
        <v>0</v>
      </c>
      <c r="EB22" s="215"/>
      <c r="EC22" s="215"/>
      <c r="ED22" s="179"/>
      <c r="EE22" s="184"/>
      <c r="EF22" s="185">
        <f t="shared" si="50"/>
        <v>53.3</v>
      </c>
      <c r="EG22" s="176">
        <f t="shared" si="51"/>
        <v>901.16</v>
      </c>
      <c r="EH22" s="176">
        <f t="shared" si="52"/>
        <v>6890.1025000000009</v>
      </c>
      <c r="EI22" s="176">
        <f t="shared" si="53"/>
        <v>9746.6225000000013</v>
      </c>
      <c r="EJ22" s="176">
        <f t="shared" si="54"/>
        <v>0</v>
      </c>
      <c r="EK22" s="176">
        <f t="shared" si="55"/>
        <v>0</v>
      </c>
      <c r="EL22" s="176">
        <f t="shared" si="56"/>
        <v>0</v>
      </c>
      <c r="EM22" s="176">
        <f t="shared" si="57"/>
        <v>6890.1025000000009</v>
      </c>
      <c r="EN22" s="172">
        <f t="shared" si="58"/>
        <v>387.625</v>
      </c>
      <c r="EO22" s="234" t="s">
        <v>235</v>
      </c>
      <c r="EP22" s="214">
        <f t="shared" si="59"/>
        <v>387.625</v>
      </c>
      <c r="EQ22" s="83">
        <f>IFERROR(O22+IFERROR(VLOOKUP(B22,'[1]Mar1 Payroll'!$B$9:$FJ$68,131,FALSE),),0)</f>
        <v>5759</v>
      </c>
      <c r="ER22" s="83">
        <f>IFERROR(Q22+W22+AO22+BK22+BL22+IFERROR(VLOOKUP(B22,'[1]Mar1 Payroll'!$B$9:$FJ$68,132,FALSE),),)</f>
        <v>3139.7624999999998</v>
      </c>
      <c r="ES22" s="83">
        <f t="array" ref="ES22">IFERROR(IF(BX22+CB22+CD22+CE22+CF22+EN22+IFERROR(SUM(VLOOKUP(B22,'[1]Mar1 Payroll'!$B$9:$FJ$68,{133,137,140,141,144,146,147,148},FALSE)),)&gt;90000,EN22+IFERROR(SUM(VLOOKUP(B22,'[1]Mar1 Payroll'!$B$9:$FJ$68,{133,144},FALSE)),),IF(BX22+CB22+CD22+CE22+CF22+EN22+IFERROR(SUM(VLOOKUP(B22,'[1]Mar1 Payroll'!$B$9:$EK$68,{133,137,140,141,144,146,147,148},FALSE)),)&lt;90000,0,0)),0)</f>
        <v>0</v>
      </c>
      <c r="ET22" s="83">
        <f>IFERROR(BW22+IFERROR(VLOOKUP(B22,'[1]Mar1 Payroll'!$B$9:$FJ$68,134,FALSE),),0)</f>
        <v>0</v>
      </c>
      <c r="EU22" s="83">
        <f>IFERROR(BU22+IFERROR(VLOOKUP(B22,'[1]Mar1 Payroll'!$B$9:$FJ$68,135,FALSE),),0)</f>
        <v>0</v>
      </c>
      <c r="EV22" s="83">
        <f>IFERROR(BV22+IFERROR(VLOOKUP(B22,'[1]Mar1 Payroll'!$B$9:$FJ$68,136,FALSE),),0)</f>
        <v>0</v>
      </c>
      <c r="EW22" s="83">
        <f t="array" ref="EW22">IFERROR(IF(BX22+CB22+CD22+CE22+CF22+EN22+IFERROR(SUM(VLOOKUP(B22,'[1]Mar1 Payroll'!$B$9:$FJ$68,{133,137,140,141,144,146,147,148},FALSE)),)&gt;90000,BX22+IFERROR(SUM(VLOOKUP(B22,'[1]Mar1 Payroll'!$B$9:$FJ$68,{137,147},FALSE)),),IF(BX22+CB22+CD22+CE22+CF22+EN22+IFERROR(SUM(VLOOKUP(B22,'[1]Mar1 Payroll'!$B$9:$EK$68,{133,137,140,141,144,146,147,148},FALSE)),)&lt;90000,0,0)),0)</f>
        <v>0</v>
      </c>
      <c r="EX22" s="83">
        <f>IFERROR(BY22+IFERROR(VLOOKUP(B22,'[1]Mar1 Payroll'!$B$9:$FJ$68,138,FALSE),),0)</f>
        <v>0</v>
      </c>
      <c r="EY22" s="83">
        <f>IFERROR(BZ22+IFERROR(VLOOKUP(B22,'[1]Mar1 Payroll'!$B$9:$FJ$68,139,FALSE),),0)</f>
        <v>0</v>
      </c>
      <c r="EZ22" s="83">
        <f t="array" ref="EZ22">IFERROR(IF(BX22+CB22+CD22+CE22+CF22+EN22+IFERROR(SUM(VLOOKUP(B22,'[1]Mar1 Payroll'!$B$9:$FJ$68,{133,137,140,141,144,146,147,148},FALSE)),)&gt;90000,CB22+IFERROR(SUM(VLOOKUP(B22,'[1]Mar1 Payroll'!$B$9:$FJ$68,{140,146},FALSE)),),IF(BX22+CB22+CD22+CE22+CF22+EN22+IFERROR(SUM(VLOOKUP(B22,'[1]Mar1 Payroll'!$B$9:$EK$68,{133,137,140,141,144,146,147,148},FALSE)),)&lt;90000,0,0)),0)</f>
        <v>0</v>
      </c>
      <c r="FA22" s="83">
        <f t="array" ref="FA22">IFERROR(IF(BX22+CB22+CD22+CE22+CF22+EN22+IFERROR(SUM(VLOOKUP(B22,'[1]Mar1 Payroll'!$B$9:$FJ$68,{133,137,140,141,144,146,147,148},FALSE)),)&gt;90000,CD22+CE22+CF22+IFERROR(SUM(VLOOKUP(B22,'[1]Mar1 Payroll'!$B$9:$FJ$68,{141,148},FALSE)),),IF(BX22+CB22+CD22+CE22+CF22+EN22+IFERROR(SUM(VLOOKUP(B22,'[1]Mar1 Payroll'!$B$9:$EK$68,{133,137,140,141,144,146,147,148},FALSE)),)&lt;90000,0,0)),0)</f>
        <v>0</v>
      </c>
      <c r="FB22" s="83">
        <f t="shared" si="60"/>
        <v>0</v>
      </c>
      <c r="FC22" s="83">
        <f t="shared" si="61"/>
        <v>0</v>
      </c>
      <c r="FD22" s="83">
        <f t="array" ref="FD22">IFERROR(IF(BX22+CB22+CD22+CE22+CF22+EN22+IFERROR(SUM(VLOOKUP(B22,'[1]Mar1 Payroll'!$B$9:$FJ$68,{133,137,140,141,144,146,147,148},FALSE)),)&gt;90000,0,IF(BX22+CB22+CD22+CE22+CF22+EN22+IFERROR(SUM(VLOOKUP(B22,'[1]Mar1 Payroll'!$B$9:$EK$68,{133,137,140,141,144,146,147,148},FALSE)),)&lt;90000,EN22+IFERROR(SUM(VLOOKUP(B22,'[1]Mar1 Payroll'!$B$9:$FJ$68,{133,144},FALSE)),),)),)</f>
        <v>387.625</v>
      </c>
      <c r="FE22" s="83">
        <f>IFERROR(CC22+IFERROR(VLOOKUP(B22,'[1]Mar1 Payroll'!$B$9:$FJ$68,145,FALSE),),0)</f>
        <v>0</v>
      </c>
      <c r="FF22" s="83">
        <f t="array" ref="FF22">IFERROR(IF(BX22+CB22+CD22+CE22+CF22+EN22+IFERROR(SUM(VLOOKUP(B22,'[1]Mar1 Payroll'!$B$9:$FJ$68,{133,137,140,141,144,146,147,148},FALSE)),)&gt;90000,0,IF(BX22+CB22+CD22+CE22+CF22+EN22+IFERROR(SUM(VLOOKUP(B22,'[1]Mar1 Payroll'!$B$9:$EK$68,{133,137,140,141,144,146,147,148},FALSE)),)&lt;90000,CB22+IFERROR(SUM(VLOOKUP(B22,'[1]Mar1 Payroll'!$B$9:$FJ$68,{140,146},FALSE)),))),0)</f>
        <v>0</v>
      </c>
      <c r="FG22" s="83">
        <f t="array" ref="FG22">IFERROR(IF(BX22+CB22+CD22+CE22+CF22+EN22+IFERROR(SUM(VLOOKUP(B22,'[1]Mar1 Payroll'!$B$9:$FJ$68,{133,137,140,141,144,146,147,148},FALSE)),)&gt;90000,0,IF(BX22+CB22+CD22+CE22+CF22+EN22+IFERROR(SUM(VLOOKUP(B22,'[1]Mar1 Payroll'!$B$9:$EK$68,{133,137,140,141,144,146,147,148},FALSE)),)&lt;90000,BX22+IFERROR(SUM(VLOOKUP(B22,'[1]Mar1 Payroll'!$B$9:$FJ$68,{137,147},FALSE)),))),0)</f>
        <v>0</v>
      </c>
      <c r="FH22" s="83">
        <f t="array" ref="FH22">IFERROR(IF(BX22+CB22+CD22+CE22+CF22+EN22+IFERROR(SUM(VLOOKUP(B22,'[1]Mar1 Payroll'!$B$9:$FJ$68,{133,137,140,141,144,146,147,148},FALSE)),)&gt;90000,0,IF(BX22+CB22+CD22+CE22+CF22+EN22+IFERROR(SUM(VLOOKUP(B22,'[1]Mar1 Payroll'!$B$9:$EK$68,{133,137,140,141,144,146,147,148},FALSE)),)&lt;90000,CD22+CE22+CF22+IFERROR(SUM(VLOOKUP(B22,'[1]Mar1 Payroll'!$B$9:$FJ$68,{141,148},FALSE)),))),0)</f>
        <v>0</v>
      </c>
      <c r="FI22" s="83">
        <f t="shared" si="62"/>
        <v>0</v>
      </c>
      <c r="FJ22" s="83">
        <f t="shared" si="63"/>
        <v>8898.7625000000007</v>
      </c>
      <c r="FK22" s="83">
        <f>IFERROR(EJ22+EK22+EL22+IFERROR(VLOOKUP(B22,'[1]Mar1 Payroll'!$B$9:$FJ$68,151,FALSE),),0)</f>
        <v>0</v>
      </c>
      <c r="FL22" s="83">
        <f>IFERROR(CY22+IFERROR(VLOOKUP(B22,'[1]Mar1 Payroll'!$B$9:$FJ$68,152,FALSE),),0)</f>
        <v>10</v>
      </c>
      <c r="FM22" s="83">
        <f>IFERROR(DA22+DB22+IFERROR(VLOOKUP(B22,'[1]Mar1 Payroll'!$B$9:$FJ$68,153,FALSE),),0)</f>
        <v>460.72</v>
      </c>
      <c r="FN22" s="83">
        <f>IFERROR(DD22+DE22+IFERROR(VLOOKUP(B22,'[1]Mar1 Payroll'!$B$9:$FJ$68,154,FALSE),),0)</f>
        <v>200</v>
      </c>
      <c r="FO22" s="83">
        <f>IFERROR(CO22+IFERROR(VLOOKUP(B22,'[1]Mar1 Payroll'!$B$9:$FJ$68,155,FALSE),),0)</f>
        <v>-1107.5</v>
      </c>
      <c r="FP22" s="83">
        <f>IFERROR(DZ22+EA22+EF22+IFERROR(VLOOKUP(B22,'[1]Mar1 Payroll'!$B$9:$FJ$68,156,FALSE),),0)</f>
        <v>106.6</v>
      </c>
      <c r="FQ22" s="83">
        <f>IFERROR(DH22+IFERROR(VLOOKUP(B22,'[1]Mar1 Payroll'!$B$9:$FJ$68,157,FALSE),),0)</f>
        <v>0</v>
      </c>
      <c r="FR22" s="83">
        <f>IFERROR(DI22+IFERROR(VLOOKUP(B22,'[1]Mar1 Payroll'!$B$9:$FJ$68,158,FALSE),),0)</f>
        <v>0</v>
      </c>
      <c r="FS22" s="83">
        <f>IFERROR(DK22+IFERROR(VLOOKUP(B22,'[1]Mar1 Payroll'!$B$9:$FJ$68,159,FALSE),),0)</f>
        <v>0</v>
      </c>
      <c r="FT22" s="83">
        <f>IFERROR(DM22+IFERROR(VLOOKUP(B22,'[1]Mar1 Payroll'!$B$9:$FJ$68,160,FALSE),),0)</f>
        <v>0</v>
      </c>
      <c r="FU22" s="83">
        <f>IFERROR(DN22+IFERROR(VLOOKUP(B22,'[1]Mar1 Payroll'!$B$9:$FJ$68,161,FALSE),),0)</f>
        <v>0</v>
      </c>
      <c r="FV22" s="83">
        <f>IFERROR(DO22+IFERROR(VLOOKUP(B22,'[1]Mar1 Payroll'!$B$9:$FJ$68,162,FALSE),),0)</f>
        <v>0</v>
      </c>
      <c r="FW22" s="83">
        <f>IFERROR(DP22+IFERROR(VLOOKUP(B22,'[1]Mar1 Payroll'!$B$9:$FJ$68,163,FALSE),),0)</f>
        <v>0</v>
      </c>
      <c r="FX22" s="83">
        <f t="shared" si="64"/>
        <v>-330.17999999999995</v>
      </c>
      <c r="FY22" s="84">
        <f t="shared" si="65"/>
        <v>8568.5825000000004</v>
      </c>
      <c r="FZ22" s="85"/>
      <c r="GA22" s="105"/>
      <c r="GB22" s="86">
        <f t="shared" si="66"/>
        <v>5759</v>
      </c>
      <c r="GC22" s="83">
        <f t="shared" si="67"/>
        <v>3139.7624999999998</v>
      </c>
      <c r="GD22" s="83">
        <f t="shared" si="68"/>
        <v>0</v>
      </c>
      <c r="GE22" s="83">
        <f t="shared" si="69"/>
        <v>0</v>
      </c>
      <c r="GF22" s="83">
        <f t="shared" si="70"/>
        <v>0</v>
      </c>
      <c r="GG22" s="83">
        <f t="shared" si="71"/>
        <v>0</v>
      </c>
      <c r="GH22" s="83">
        <f t="shared" si="72"/>
        <v>0</v>
      </c>
      <c r="GI22" s="83">
        <f t="shared" si="73"/>
        <v>0</v>
      </c>
      <c r="GJ22" s="83">
        <f t="shared" si="74"/>
        <v>0</v>
      </c>
      <c r="GK22" s="83">
        <f t="shared" si="75"/>
        <v>0</v>
      </c>
      <c r="GL22" s="83">
        <f t="shared" si="76"/>
        <v>0</v>
      </c>
      <c r="GM22" s="83">
        <f t="shared" si="77"/>
        <v>0</v>
      </c>
      <c r="GN22" s="83">
        <f t="shared" si="78"/>
        <v>0</v>
      </c>
      <c r="GO22" s="83">
        <f t="shared" si="79"/>
        <v>387.625</v>
      </c>
      <c r="GP22" s="83">
        <f t="shared" si="80"/>
        <v>0</v>
      </c>
      <c r="GQ22" s="83">
        <f t="shared" si="81"/>
        <v>0</v>
      </c>
      <c r="GR22" s="83">
        <f t="shared" si="82"/>
        <v>0</v>
      </c>
      <c r="GS22" s="83">
        <f t="shared" si="83"/>
        <v>0</v>
      </c>
      <c r="GT22" s="83">
        <f t="shared" si="84"/>
        <v>0</v>
      </c>
      <c r="GU22" s="83">
        <f t="shared" si="85"/>
        <v>8898.7625000000007</v>
      </c>
      <c r="GV22" s="83">
        <f t="shared" si="86"/>
        <v>0</v>
      </c>
      <c r="GW22" s="83">
        <f t="shared" si="87"/>
        <v>10</v>
      </c>
      <c r="GX22" s="83">
        <f t="shared" si="88"/>
        <v>460.72</v>
      </c>
      <c r="GY22" s="83">
        <f t="shared" si="89"/>
        <v>200</v>
      </c>
      <c r="GZ22" s="83">
        <f t="shared" si="90"/>
        <v>-1107.5</v>
      </c>
      <c r="HA22" s="83">
        <f t="shared" si="91"/>
        <v>106.6</v>
      </c>
      <c r="HB22" s="83">
        <f t="shared" si="92"/>
        <v>0</v>
      </c>
      <c r="HC22" s="83">
        <f t="shared" si="93"/>
        <v>0</v>
      </c>
      <c r="HD22" s="83">
        <f t="shared" si="94"/>
        <v>0</v>
      </c>
      <c r="HE22" s="83">
        <f t="shared" si="95"/>
        <v>0</v>
      </c>
      <c r="HF22" s="83">
        <f t="shared" si="96"/>
        <v>0</v>
      </c>
      <c r="HG22" s="83">
        <f t="shared" si="97"/>
        <v>0</v>
      </c>
      <c r="HH22" s="83">
        <f t="shared" si="98"/>
        <v>0</v>
      </c>
      <c r="HI22" s="83">
        <f t="shared" si="99"/>
        <v>-330.17999999999995</v>
      </c>
      <c r="HJ22" s="87">
        <f t="shared" si="100"/>
        <v>8568.5825000000004</v>
      </c>
      <c r="HK22" s="105" t="s">
        <v>172</v>
      </c>
      <c r="HL22" s="88">
        <f t="shared" si="101"/>
        <v>6890.1025000000009</v>
      </c>
      <c r="HM22" s="88">
        <f t="shared" si="102"/>
        <v>0</v>
      </c>
      <c r="HN22" s="88"/>
      <c r="HO22" s="89">
        <v>7</v>
      </c>
      <c r="HP22" s="91">
        <f t="shared" si="103"/>
        <v>4651.5</v>
      </c>
      <c r="HQ22" s="91">
        <f t="shared" si="104"/>
        <v>7737.9624999999996</v>
      </c>
      <c r="HR22" s="91">
        <f t="shared" si="105"/>
        <v>-847.85999999999876</v>
      </c>
      <c r="HS22" s="91"/>
      <c r="HT22" s="91"/>
      <c r="HU22" s="91"/>
      <c r="HV22" s="91"/>
      <c r="HW22" s="91"/>
      <c r="HX22" s="91"/>
    </row>
    <row r="23" spans="1:233" s="97" customFormat="1" ht="15.75" customHeight="1" thickBot="1" x14ac:dyDescent="0.3">
      <c r="A23" s="217" t="s">
        <v>236</v>
      </c>
      <c r="B23" s="242" t="s">
        <v>229</v>
      </c>
      <c r="C23" s="169" t="s">
        <v>187</v>
      </c>
      <c r="D23" s="183"/>
      <c r="E23" s="169" t="s">
        <v>197</v>
      </c>
      <c r="F23" s="170" t="s">
        <v>194</v>
      </c>
      <c r="G23" s="171" t="s">
        <v>170</v>
      </c>
      <c r="H23" s="223">
        <v>11518</v>
      </c>
      <c r="I23" s="172">
        <f t="shared" si="0"/>
        <v>0</v>
      </c>
      <c r="J23" s="175">
        <v>13</v>
      </c>
      <c r="K23" s="175">
        <v>9</v>
      </c>
      <c r="L23" s="180">
        <f t="shared" si="1"/>
        <v>443</v>
      </c>
      <c r="M23" s="180">
        <f t="shared" si="2"/>
        <v>55.375</v>
      </c>
      <c r="N23" s="180">
        <f t="shared" si="3"/>
        <v>0.92291666666666672</v>
      </c>
      <c r="O23" s="174">
        <f t="shared" si="4"/>
        <v>5759</v>
      </c>
      <c r="P23" s="175">
        <v>29</v>
      </c>
      <c r="Q23" s="174">
        <f t="shared" si="5"/>
        <v>2007.34375</v>
      </c>
      <c r="R23" s="175"/>
      <c r="S23" s="174">
        <f t="shared" si="107"/>
        <v>0</v>
      </c>
      <c r="T23" s="171"/>
      <c r="U23" s="174">
        <f t="shared" si="6"/>
        <v>0</v>
      </c>
      <c r="V23" s="173">
        <f t="shared" si="7"/>
        <v>0</v>
      </c>
      <c r="W23" s="173">
        <f t="shared" si="8"/>
        <v>0</v>
      </c>
      <c r="X23" s="171"/>
      <c r="Y23" s="174">
        <f t="shared" si="9"/>
        <v>0</v>
      </c>
      <c r="Z23" s="171"/>
      <c r="AA23" s="174">
        <f t="shared" si="10"/>
        <v>0</v>
      </c>
      <c r="AB23" s="171"/>
      <c r="AC23" s="174">
        <f t="shared" si="11"/>
        <v>0</v>
      </c>
      <c r="AD23" s="171"/>
      <c r="AE23" s="174">
        <f t="shared" si="12"/>
        <v>0</v>
      </c>
      <c r="AF23" s="175"/>
      <c r="AG23" s="174">
        <f t="shared" si="13"/>
        <v>0</v>
      </c>
      <c r="AH23" s="171"/>
      <c r="AI23" s="174">
        <f t="shared" si="14"/>
        <v>0</v>
      </c>
      <c r="AJ23" s="171"/>
      <c r="AK23" s="174">
        <f t="shared" si="15"/>
        <v>0</v>
      </c>
      <c r="AL23" s="171"/>
      <c r="AM23" s="174">
        <f t="shared" si="16"/>
        <v>0</v>
      </c>
      <c r="AN23" s="173">
        <f t="shared" si="17"/>
        <v>0</v>
      </c>
      <c r="AO23" s="173">
        <f t="shared" si="18"/>
        <v>0</v>
      </c>
      <c r="AP23" s="171">
        <v>20</v>
      </c>
      <c r="AQ23" s="174">
        <f t="shared" si="19"/>
        <v>110.75000000000001</v>
      </c>
      <c r="AR23" s="171">
        <v>14</v>
      </c>
      <c r="AS23" s="174">
        <f t="shared" si="20"/>
        <v>96.90625</v>
      </c>
      <c r="AT23" s="171"/>
      <c r="AU23" s="174">
        <f t="shared" si="21"/>
        <v>0</v>
      </c>
      <c r="AV23" s="171"/>
      <c r="AW23" s="228">
        <f t="shared" si="22"/>
        <v>0</v>
      </c>
      <c r="AX23" s="171"/>
      <c r="AY23" s="174">
        <f t="shared" si="23"/>
        <v>0</v>
      </c>
      <c r="AZ23" s="171"/>
      <c r="BA23" s="174">
        <f t="shared" si="24"/>
        <v>0</v>
      </c>
      <c r="BB23" s="171"/>
      <c r="BC23" s="174">
        <f t="shared" si="25"/>
        <v>0</v>
      </c>
      <c r="BD23" s="171"/>
      <c r="BE23" s="174">
        <f t="shared" si="26"/>
        <v>0</v>
      </c>
      <c r="BF23" s="171"/>
      <c r="BG23" s="174">
        <f t="shared" si="27"/>
        <v>0</v>
      </c>
      <c r="BH23" s="171"/>
      <c r="BI23" s="174">
        <f t="shared" si="28"/>
        <v>0</v>
      </c>
      <c r="BJ23" s="176">
        <f t="shared" si="29"/>
        <v>34</v>
      </c>
      <c r="BK23" s="173">
        <f t="shared" si="30"/>
        <v>207.65625</v>
      </c>
      <c r="BL23" s="171"/>
      <c r="BM23" s="174"/>
      <c r="BN23" s="174"/>
      <c r="BO23" s="171"/>
      <c r="BP23" s="171"/>
      <c r="BQ23" s="171"/>
      <c r="BR23" s="171"/>
      <c r="BS23" s="174">
        <f t="shared" si="31"/>
        <v>0</v>
      </c>
      <c r="BT23" s="174">
        <f t="shared" si="32"/>
        <v>0</v>
      </c>
      <c r="BU23" s="173">
        <f t="shared" si="33"/>
        <v>0</v>
      </c>
      <c r="BV23" s="173">
        <f t="shared" si="34"/>
        <v>0</v>
      </c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4">
        <f t="shared" si="35"/>
        <v>0</v>
      </c>
      <c r="CI23" s="175"/>
      <c r="CJ23" s="174">
        <f t="shared" si="36"/>
        <v>0</v>
      </c>
      <c r="CK23" s="175"/>
      <c r="CL23" s="174">
        <f t="shared" si="37"/>
        <v>0</v>
      </c>
      <c r="CM23" s="171">
        <f t="shared" si="38"/>
        <v>4</v>
      </c>
      <c r="CN23" s="177">
        <f t="shared" si="39"/>
        <v>-1772</v>
      </c>
      <c r="CO23" s="173">
        <f t="shared" si="40"/>
        <v>-1772</v>
      </c>
      <c r="CP23" s="176">
        <f t="shared" si="41"/>
        <v>6202</v>
      </c>
      <c r="CQ23" s="187" t="str">
        <f>_xlfn.IFNA(VLOOKUP(B23,'[1]201'!$E$7:$H$66,2,FALSE),"")</f>
        <v/>
      </c>
      <c r="CR23" s="187" t="str">
        <f>_xlfn.IFNA(VLOOKUP(B23,'[1]201'!$E$7:$H$66,3,FALSE),"")</f>
        <v/>
      </c>
      <c r="CS23" s="187" t="str">
        <f>_xlfn.IFNA(VLOOKUP(B23,'[1]201'!$E$7:$H$66,4,FALSE),"")</f>
        <v/>
      </c>
      <c r="CT23" s="179"/>
      <c r="CU23" s="179"/>
      <c r="CV23" s="179"/>
      <c r="CW23" s="180">
        <v>517.5</v>
      </c>
      <c r="CX23" s="181">
        <v>1092.5</v>
      </c>
      <c r="CY23" s="182">
        <v>10</v>
      </c>
      <c r="CZ23" s="176">
        <f t="shared" si="42"/>
        <v>1620</v>
      </c>
      <c r="DA23" s="181">
        <f t="shared" si="43"/>
        <v>230.36</v>
      </c>
      <c r="DB23" s="182">
        <f t="shared" si="44"/>
        <v>230.36</v>
      </c>
      <c r="DC23" s="176">
        <f t="shared" si="45"/>
        <v>460.72</v>
      </c>
      <c r="DD23" s="181">
        <v>100</v>
      </c>
      <c r="DE23" s="182">
        <v>100</v>
      </c>
      <c r="DF23" s="176">
        <f t="shared" si="46"/>
        <v>200</v>
      </c>
      <c r="DG23" s="176">
        <f t="shared" si="106"/>
        <v>847.86</v>
      </c>
      <c r="DH23" s="215"/>
      <c r="DI23" s="183"/>
      <c r="DJ23" s="183"/>
      <c r="DK23" s="183"/>
      <c r="DL23" s="176">
        <f t="shared" si="47"/>
        <v>0</v>
      </c>
      <c r="DM23" s="183"/>
      <c r="DN23" s="183"/>
      <c r="DO23" s="183"/>
      <c r="DP23" s="183"/>
      <c r="DQ23" s="172">
        <f t="shared" si="48"/>
        <v>0</v>
      </c>
      <c r="DR23" s="179"/>
      <c r="DS23" s="179"/>
      <c r="DT23" s="175"/>
      <c r="DU23" s="179"/>
      <c r="DV23" s="179"/>
      <c r="DW23" s="220"/>
      <c r="DX23" s="218"/>
      <c r="DY23" s="173">
        <f t="shared" si="49"/>
        <v>0</v>
      </c>
      <c r="DZ23" s="179"/>
      <c r="EA23" s="215"/>
      <c r="EB23" s="215"/>
      <c r="EC23" s="215"/>
      <c r="ED23" s="179"/>
      <c r="EE23" s="184"/>
      <c r="EF23" s="185">
        <f t="shared" si="50"/>
        <v>0</v>
      </c>
      <c r="EG23" s="176">
        <f t="shared" si="51"/>
        <v>847.86</v>
      </c>
      <c r="EH23" s="176">
        <f t="shared" si="52"/>
        <v>5354.14</v>
      </c>
      <c r="EI23" s="176">
        <f t="shared" si="53"/>
        <v>8821.86</v>
      </c>
      <c r="EJ23" s="176">
        <f t="shared" si="54"/>
        <v>0</v>
      </c>
      <c r="EK23" s="176">
        <f t="shared" si="55"/>
        <v>0</v>
      </c>
      <c r="EL23" s="176">
        <f t="shared" si="56"/>
        <v>0</v>
      </c>
      <c r="EM23" s="176">
        <f t="shared" si="57"/>
        <v>5354.14</v>
      </c>
      <c r="EN23" s="172">
        <f t="shared" si="58"/>
        <v>332.25</v>
      </c>
      <c r="EO23" s="234" t="s">
        <v>236</v>
      </c>
      <c r="EP23" s="214">
        <f t="shared" si="59"/>
        <v>332.25</v>
      </c>
      <c r="EQ23" s="83">
        <f>IFERROR(O23+IFERROR(VLOOKUP(B23,'[1]Mar1 Payroll'!$B$9:$FJ$68,131,FALSE),),0)</f>
        <v>5759</v>
      </c>
      <c r="ER23" s="83">
        <f>IFERROR(Q23+W23+AO23+BK23+BL23+IFERROR(VLOOKUP(B23,'[1]Mar1 Payroll'!$B$9:$FJ$68,132,FALSE),),)</f>
        <v>2215</v>
      </c>
      <c r="ES23" s="83">
        <f t="array" ref="ES23">IFERROR(IF(BX23+CB23+CD23+CE23+CF23+EN23+IFERROR(SUM(VLOOKUP(B23,'[1]Mar1 Payroll'!$B$9:$FJ$68,{133,137,140,141,144,146,147,148},FALSE)),)&gt;90000,EN23+IFERROR(SUM(VLOOKUP(B23,'[1]Mar1 Payroll'!$B$9:$FJ$68,{133,144},FALSE)),),IF(BX23+CB23+CD23+CE23+CF23+EN23+IFERROR(SUM(VLOOKUP(B23,'[1]Mar1 Payroll'!$B$9:$EK$68,{133,137,140,141,144,146,147,148},FALSE)),)&lt;90000,0,0)),0)</f>
        <v>0</v>
      </c>
      <c r="ET23" s="83">
        <f>IFERROR(BW23+IFERROR(VLOOKUP(B23,'[1]Mar1 Payroll'!$B$9:$FJ$68,134,FALSE),),0)</f>
        <v>0</v>
      </c>
      <c r="EU23" s="83">
        <f>IFERROR(BU23+IFERROR(VLOOKUP(B23,'[1]Mar1 Payroll'!$B$9:$FJ$68,135,FALSE),),0)</f>
        <v>0</v>
      </c>
      <c r="EV23" s="83">
        <f>IFERROR(BV23+IFERROR(VLOOKUP(B23,'[1]Mar1 Payroll'!$B$9:$FJ$68,136,FALSE),),0)</f>
        <v>0</v>
      </c>
      <c r="EW23" s="83">
        <f t="array" ref="EW23">IFERROR(IF(BX23+CB23+CD23+CE23+CF23+EN23+IFERROR(SUM(VLOOKUP(B23,'[1]Mar1 Payroll'!$B$9:$FJ$68,{133,137,140,141,144,146,147,148},FALSE)),)&gt;90000,BX23+IFERROR(SUM(VLOOKUP(B23,'[1]Mar1 Payroll'!$B$9:$FJ$68,{137,147},FALSE)),),IF(BX23+CB23+CD23+CE23+CF23+EN23+IFERROR(SUM(VLOOKUP(B23,'[1]Mar1 Payroll'!$B$9:$EK$68,{133,137,140,141,144,146,147,148},FALSE)),)&lt;90000,0,0)),0)</f>
        <v>0</v>
      </c>
      <c r="EX23" s="83">
        <f>IFERROR(BY23+IFERROR(VLOOKUP(B23,'[1]Mar1 Payroll'!$B$9:$FJ$68,138,FALSE),),0)</f>
        <v>0</v>
      </c>
      <c r="EY23" s="83">
        <f>IFERROR(BZ23+IFERROR(VLOOKUP(B23,'[1]Mar1 Payroll'!$B$9:$FJ$68,139,FALSE),),0)</f>
        <v>0</v>
      </c>
      <c r="EZ23" s="83">
        <f t="array" ref="EZ23">IFERROR(IF(BX23+CB23+CD23+CE23+CF23+EN23+IFERROR(SUM(VLOOKUP(B23,'[1]Mar1 Payroll'!$B$9:$FJ$68,{133,137,140,141,144,146,147,148},FALSE)),)&gt;90000,CB23+IFERROR(SUM(VLOOKUP(B23,'[1]Mar1 Payroll'!$B$9:$FJ$68,{140,146},FALSE)),),IF(BX23+CB23+CD23+CE23+CF23+EN23+IFERROR(SUM(VLOOKUP(B23,'[1]Mar1 Payroll'!$B$9:$EK$68,{133,137,140,141,144,146,147,148},FALSE)),)&lt;90000,0,0)),0)</f>
        <v>0</v>
      </c>
      <c r="FA23" s="83">
        <f t="array" ref="FA23">IFERROR(IF(BX23+CB23+CD23+CE23+CF23+EN23+IFERROR(SUM(VLOOKUP(B23,'[1]Mar1 Payroll'!$B$9:$FJ$68,{133,137,140,141,144,146,147,148},FALSE)),)&gt;90000,CD23+CE23+CF23+IFERROR(SUM(VLOOKUP(B23,'[1]Mar1 Payroll'!$B$9:$FJ$68,{141,148},FALSE)),),IF(BX23+CB23+CD23+CE23+CF23+EN23+IFERROR(SUM(VLOOKUP(B23,'[1]Mar1 Payroll'!$B$9:$EK$68,{133,137,140,141,144,146,147,148},FALSE)),)&lt;90000,0,0)),0)</f>
        <v>0</v>
      </c>
      <c r="FB23" s="83">
        <f t="shared" si="60"/>
        <v>0</v>
      </c>
      <c r="FC23" s="83">
        <f t="shared" si="61"/>
        <v>0</v>
      </c>
      <c r="FD23" s="83">
        <f t="array" ref="FD23">IFERROR(IF(BX23+CB23+CD23+CE23+CF23+EN23+IFERROR(SUM(VLOOKUP(B23,'[1]Mar1 Payroll'!$B$9:$FJ$68,{133,137,140,141,144,146,147,148},FALSE)),)&gt;90000,0,IF(BX23+CB23+CD23+CE23+CF23+EN23+IFERROR(SUM(VLOOKUP(B23,'[1]Mar1 Payroll'!$B$9:$EK$68,{133,137,140,141,144,146,147,148},FALSE)),)&lt;90000,EN23+IFERROR(SUM(VLOOKUP(B23,'[1]Mar1 Payroll'!$B$9:$FJ$68,{133,144},FALSE)),),)),)</f>
        <v>332.25</v>
      </c>
      <c r="FE23" s="83">
        <f>IFERROR(CC23+IFERROR(VLOOKUP(B23,'[1]Mar1 Payroll'!$B$9:$FJ$68,145,FALSE),),0)</f>
        <v>0</v>
      </c>
      <c r="FF23" s="83">
        <f t="array" ref="FF23">IFERROR(IF(BX23+CB23+CD23+CE23+CF23+EN23+IFERROR(SUM(VLOOKUP(B23,'[1]Mar1 Payroll'!$B$9:$FJ$68,{133,137,140,141,144,146,147,148},FALSE)),)&gt;90000,0,IF(BX23+CB23+CD23+CE23+CF23+EN23+IFERROR(SUM(VLOOKUP(B23,'[1]Mar1 Payroll'!$B$9:$EK$68,{133,137,140,141,144,146,147,148},FALSE)),)&lt;90000,CB23+IFERROR(SUM(VLOOKUP(B23,'[1]Mar1 Payroll'!$B$9:$FJ$68,{140,146},FALSE)),))),0)</f>
        <v>0</v>
      </c>
      <c r="FG23" s="83">
        <f t="array" ref="FG23">IFERROR(IF(BX23+CB23+CD23+CE23+CF23+EN23+IFERROR(SUM(VLOOKUP(B23,'[1]Mar1 Payroll'!$B$9:$FJ$68,{133,137,140,141,144,146,147,148},FALSE)),)&gt;90000,0,IF(BX23+CB23+CD23+CE23+CF23+EN23+IFERROR(SUM(VLOOKUP(B23,'[1]Mar1 Payroll'!$B$9:$EK$68,{133,137,140,141,144,146,147,148},FALSE)),)&lt;90000,BX23+IFERROR(SUM(VLOOKUP(B23,'[1]Mar1 Payroll'!$B$9:$FJ$68,{137,147},FALSE)),))),0)</f>
        <v>0</v>
      </c>
      <c r="FH23" s="83">
        <f t="array" ref="FH23">IFERROR(IF(BX23+CB23+CD23+CE23+CF23+EN23+IFERROR(SUM(VLOOKUP(B23,'[1]Mar1 Payroll'!$B$9:$FJ$68,{133,137,140,141,144,146,147,148},FALSE)),)&gt;90000,0,IF(BX23+CB23+CD23+CE23+CF23+EN23+IFERROR(SUM(VLOOKUP(B23,'[1]Mar1 Payroll'!$B$9:$EK$68,{133,137,140,141,144,146,147,148},FALSE)),)&lt;90000,CD23+CE23+CF23+IFERROR(SUM(VLOOKUP(B23,'[1]Mar1 Payroll'!$B$9:$FJ$68,{141,148},FALSE)),))),0)</f>
        <v>0</v>
      </c>
      <c r="FI23" s="83">
        <f t="shared" si="62"/>
        <v>0</v>
      </c>
      <c r="FJ23" s="83">
        <f t="shared" si="63"/>
        <v>7974</v>
      </c>
      <c r="FK23" s="83">
        <f>IFERROR(EJ23+EK23+EL23+IFERROR(VLOOKUP(B23,'[1]Mar1 Payroll'!$B$9:$FJ$68,151,FALSE),),0)</f>
        <v>0</v>
      </c>
      <c r="FL23" s="83">
        <f>IFERROR(CY23+IFERROR(VLOOKUP(B23,'[1]Mar1 Payroll'!$B$9:$FJ$68,152,FALSE),),0)</f>
        <v>10</v>
      </c>
      <c r="FM23" s="83">
        <f>IFERROR(DA23+DB23+IFERROR(VLOOKUP(B23,'[1]Mar1 Payroll'!$B$9:$FJ$68,153,FALSE),),0)</f>
        <v>460.72</v>
      </c>
      <c r="FN23" s="83">
        <f>IFERROR(DD23+DE23+IFERROR(VLOOKUP(B23,'[1]Mar1 Payroll'!$B$9:$FJ$68,154,FALSE),),0)</f>
        <v>200</v>
      </c>
      <c r="FO23" s="83">
        <f>IFERROR(CO23+IFERROR(VLOOKUP(B23,'[1]Mar1 Payroll'!$B$9:$FJ$68,155,FALSE),),0)</f>
        <v>-1772</v>
      </c>
      <c r="FP23" s="83">
        <f>IFERROR(DZ23+EA23+EF23+IFERROR(VLOOKUP(B23,'[1]Mar1 Payroll'!$B$9:$FJ$68,156,FALSE),),0)</f>
        <v>0</v>
      </c>
      <c r="FQ23" s="83">
        <f>IFERROR(DH23+IFERROR(VLOOKUP(B23,'[1]Mar1 Payroll'!$B$9:$FJ$68,157,FALSE),),0)</f>
        <v>0</v>
      </c>
      <c r="FR23" s="83">
        <f>IFERROR(DI23+IFERROR(VLOOKUP(B23,'[1]Mar1 Payroll'!$B$9:$FJ$68,158,FALSE),),0)</f>
        <v>0</v>
      </c>
      <c r="FS23" s="83">
        <f>IFERROR(DK23+IFERROR(VLOOKUP(B23,'[1]Mar1 Payroll'!$B$9:$FJ$68,159,FALSE),),0)</f>
        <v>0</v>
      </c>
      <c r="FT23" s="83">
        <f>IFERROR(DM23+IFERROR(VLOOKUP(B23,'[1]Mar1 Payroll'!$B$9:$FJ$68,160,FALSE),),0)</f>
        <v>0</v>
      </c>
      <c r="FU23" s="83">
        <f>IFERROR(DN23+IFERROR(VLOOKUP(B23,'[1]Mar1 Payroll'!$B$9:$FJ$68,161,FALSE),),0)</f>
        <v>0</v>
      </c>
      <c r="FV23" s="83">
        <f>IFERROR(DO23+IFERROR(VLOOKUP(B23,'[1]Mar1 Payroll'!$B$9:$FJ$68,162,FALSE),),0)</f>
        <v>0</v>
      </c>
      <c r="FW23" s="83">
        <f>IFERROR(DP23+IFERROR(VLOOKUP(B23,'[1]Mar1 Payroll'!$B$9:$FJ$68,163,FALSE),),0)</f>
        <v>0</v>
      </c>
      <c r="FX23" s="83">
        <f t="shared" si="64"/>
        <v>-1101.28</v>
      </c>
      <c r="FY23" s="84">
        <f t="shared" si="65"/>
        <v>6872.72</v>
      </c>
      <c r="FZ23" s="85"/>
      <c r="GA23" s="105"/>
      <c r="GB23" s="86">
        <f t="shared" si="66"/>
        <v>5759</v>
      </c>
      <c r="GC23" s="83">
        <f t="shared" si="67"/>
        <v>2215</v>
      </c>
      <c r="GD23" s="83">
        <f t="shared" si="68"/>
        <v>0</v>
      </c>
      <c r="GE23" s="83">
        <f t="shared" si="69"/>
        <v>0</v>
      </c>
      <c r="GF23" s="83">
        <f t="shared" si="70"/>
        <v>0</v>
      </c>
      <c r="GG23" s="83">
        <f t="shared" si="71"/>
        <v>0</v>
      </c>
      <c r="GH23" s="83">
        <f t="shared" si="72"/>
        <v>0</v>
      </c>
      <c r="GI23" s="83">
        <f t="shared" si="73"/>
        <v>0</v>
      </c>
      <c r="GJ23" s="83">
        <f t="shared" si="74"/>
        <v>0</v>
      </c>
      <c r="GK23" s="83">
        <f t="shared" si="75"/>
        <v>0</v>
      </c>
      <c r="GL23" s="83">
        <f t="shared" si="76"/>
        <v>0</v>
      </c>
      <c r="GM23" s="83">
        <f t="shared" si="77"/>
        <v>0</v>
      </c>
      <c r="GN23" s="83">
        <f t="shared" si="78"/>
        <v>0</v>
      </c>
      <c r="GO23" s="83">
        <f t="shared" si="79"/>
        <v>332.25</v>
      </c>
      <c r="GP23" s="83">
        <f t="shared" si="80"/>
        <v>0</v>
      </c>
      <c r="GQ23" s="83">
        <f t="shared" si="81"/>
        <v>0</v>
      </c>
      <c r="GR23" s="83">
        <f t="shared" si="82"/>
        <v>0</v>
      </c>
      <c r="GS23" s="83">
        <f t="shared" si="83"/>
        <v>0</v>
      </c>
      <c r="GT23" s="83">
        <f t="shared" si="84"/>
        <v>0</v>
      </c>
      <c r="GU23" s="83">
        <f t="shared" si="85"/>
        <v>7974</v>
      </c>
      <c r="GV23" s="83">
        <f t="shared" si="86"/>
        <v>0</v>
      </c>
      <c r="GW23" s="83">
        <f t="shared" si="87"/>
        <v>10</v>
      </c>
      <c r="GX23" s="83">
        <f t="shared" si="88"/>
        <v>460.72</v>
      </c>
      <c r="GY23" s="83">
        <f t="shared" si="89"/>
        <v>200</v>
      </c>
      <c r="GZ23" s="83">
        <f t="shared" si="90"/>
        <v>-1772</v>
      </c>
      <c r="HA23" s="83">
        <f t="shared" si="91"/>
        <v>0</v>
      </c>
      <c r="HB23" s="83">
        <f t="shared" si="92"/>
        <v>0</v>
      </c>
      <c r="HC23" s="83">
        <f t="shared" si="93"/>
        <v>0</v>
      </c>
      <c r="HD23" s="83">
        <f t="shared" si="94"/>
        <v>0</v>
      </c>
      <c r="HE23" s="83">
        <f t="shared" si="95"/>
        <v>0</v>
      </c>
      <c r="HF23" s="83">
        <f t="shared" si="96"/>
        <v>0</v>
      </c>
      <c r="HG23" s="83">
        <f t="shared" si="97"/>
        <v>0</v>
      </c>
      <c r="HH23" s="83">
        <f t="shared" si="98"/>
        <v>0</v>
      </c>
      <c r="HI23" s="83">
        <f t="shared" si="99"/>
        <v>-1101.28</v>
      </c>
      <c r="HJ23" s="87">
        <f t="shared" si="100"/>
        <v>6872.72</v>
      </c>
      <c r="HK23" s="105" t="s">
        <v>172</v>
      </c>
      <c r="HL23" s="88">
        <f t="shared" si="101"/>
        <v>5354.14</v>
      </c>
      <c r="HM23" s="88">
        <f t="shared" si="102"/>
        <v>0</v>
      </c>
      <c r="HN23" s="88"/>
      <c r="HO23" s="89">
        <v>7</v>
      </c>
      <c r="HP23" s="91">
        <f t="shared" si="103"/>
        <v>3987</v>
      </c>
      <c r="HQ23" s="91">
        <f t="shared" si="104"/>
        <v>6202</v>
      </c>
      <c r="HR23" s="91">
        <f t="shared" si="105"/>
        <v>-847.85999999999967</v>
      </c>
      <c r="HS23" s="91"/>
      <c r="HT23" s="91"/>
      <c r="HU23" s="91"/>
      <c r="HV23" s="91"/>
      <c r="HW23" s="91"/>
      <c r="HX23" s="91"/>
    </row>
    <row r="24" spans="1:233" ht="15.75" customHeight="1" x14ac:dyDescent="0.25">
      <c r="A24" s="81"/>
      <c r="B24" s="243" t="s">
        <v>128</v>
      </c>
      <c r="C24" s="82"/>
      <c r="D24" s="82"/>
      <c r="E24" s="82"/>
      <c r="F24" s="82"/>
      <c r="G24" s="82"/>
      <c r="H24" s="82">
        <f t="shared" ref="H24:AM24" si="108">SUM(H9:H23)</f>
        <v>200572</v>
      </c>
      <c r="I24" s="82">
        <f t="shared" si="108"/>
        <v>0</v>
      </c>
      <c r="J24" s="82">
        <f t="shared" si="108"/>
        <v>195</v>
      </c>
      <c r="K24" s="82">
        <f t="shared" si="108"/>
        <v>178</v>
      </c>
      <c r="L24" s="82">
        <f t="shared" si="108"/>
        <v>7714.3076923076924</v>
      </c>
      <c r="M24" s="82">
        <f t="shared" si="108"/>
        <v>964.28846153846155</v>
      </c>
      <c r="N24" s="82">
        <f t="shared" si="108"/>
        <v>16.07147435897436</v>
      </c>
      <c r="O24" s="82">
        <f t="shared" si="108"/>
        <v>100286</v>
      </c>
      <c r="P24" s="82">
        <f t="shared" si="108"/>
        <v>213</v>
      </c>
      <c r="Q24" s="82">
        <f t="shared" si="108"/>
        <v>15500.625</v>
      </c>
      <c r="R24" s="82">
        <f t="shared" si="108"/>
        <v>0</v>
      </c>
      <c r="S24" s="82">
        <f t="shared" si="108"/>
        <v>0</v>
      </c>
      <c r="T24" s="82">
        <f t="shared" si="108"/>
        <v>0</v>
      </c>
      <c r="U24" s="82">
        <f t="shared" si="108"/>
        <v>0</v>
      </c>
      <c r="V24" s="82">
        <f t="shared" si="108"/>
        <v>0</v>
      </c>
      <c r="W24" s="82">
        <f t="shared" si="108"/>
        <v>0</v>
      </c>
      <c r="X24" s="82">
        <f t="shared" si="108"/>
        <v>0</v>
      </c>
      <c r="Y24" s="82">
        <f t="shared" si="108"/>
        <v>0</v>
      </c>
      <c r="Z24" s="82">
        <f t="shared" si="108"/>
        <v>0</v>
      </c>
      <c r="AA24" s="82">
        <f t="shared" si="108"/>
        <v>0</v>
      </c>
      <c r="AB24" s="82">
        <f t="shared" si="108"/>
        <v>0</v>
      </c>
      <c r="AC24" s="82">
        <f t="shared" si="108"/>
        <v>0</v>
      </c>
      <c r="AD24" s="82">
        <f t="shared" si="108"/>
        <v>0</v>
      </c>
      <c r="AE24" s="82">
        <f t="shared" si="108"/>
        <v>0</v>
      </c>
      <c r="AF24" s="82">
        <f t="shared" si="108"/>
        <v>0</v>
      </c>
      <c r="AG24" s="82">
        <f t="shared" si="108"/>
        <v>0</v>
      </c>
      <c r="AH24" s="82">
        <f t="shared" si="108"/>
        <v>0</v>
      </c>
      <c r="AI24" s="82">
        <f t="shared" si="108"/>
        <v>0</v>
      </c>
      <c r="AJ24" s="82">
        <f t="shared" si="108"/>
        <v>0</v>
      </c>
      <c r="AK24" s="82">
        <f t="shared" si="108"/>
        <v>0</v>
      </c>
      <c r="AL24" s="82">
        <f t="shared" si="108"/>
        <v>0</v>
      </c>
      <c r="AM24" s="82">
        <f t="shared" si="108"/>
        <v>0</v>
      </c>
      <c r="AN24" s="82">
        <f t="shared" ref="AN24:BS24" si="109">SUM(AN9:AN23)</f>
        <v>0</v>
      </c>
      <c r="AO24" s="82">
        <f t="shared" si="109"/>
        <v>0</v>
      </c>
      <c r="AP24" s="82">
        <f t="shared" si="109"/>
        <v>79</v>
      </c>
      <c r="AQ24" s="82">
        <f t="shared" si="109"/>
        <v>459.55</v>
      </c>
      <c r="AR24" s="82">
        <f t="shared" si="109"/>
        <v>129</v>
      </c>
      <c r="AS24" s="82">
        <f t="shared" si="109"/>
        <v>934.78125</v>
      </c>
      <c r="AT24" s="82">
        <f t="shared" si="109"/>
        <v>0</v>
      </c>
      <c r="AU24" s="82">
        <f t="shared" si="109"/>
        <v>0</v>
      </c>
      <c r="AV24" s="82">
        <f t="shared" si="109"/>
        <v>0</v>
      </c>
      <c r="AW24" s="82">
        <f t="shared" si="109"/>
        <v>0</v>
      </c>
      <c r="AX24" s="82">
        <f t="shared" si="109"/>
        <v>0</v>
      </c>
      <c r="AY24" s="82">
        <f t="shared" si="109"/>
        <v>0</v>
      </c>
      <c r="AZ24" s="82">
        <f t="shared" si="109"/>
        <v>0</v>
      </c>
      <c r="BA24" s="82">
        <f t="shared" si="109"/>
        <v>0</v>
      </c>
      <c r="BB24" s="82">
        <f t="shared" si="109"/>
        <v>0</v>
      </c>
      <c r="BC24" s="82">
        <f t="shared" si="109"/>
        <v>0</v>
      </c>
      <c r="BD24" s="82">
        <f t="shared" si="109"/>
        <v>0</v>
      </c>
      <c r="BE24" s="82">
        <f t="shared" si="109"/>
        <v>0</v>
      </c>
      <c r="BF24" s="82">
        <f t="shared" si="109"/>
        <v>0</v>
      </c>
      <c r="BG24" s="82">
        <f t="shared" si="109"/>
        <v>0</v>
      </c>
      <c r="BH24" s="82">
        <f t="shared" si="109"/>
        <v>0</v>
      </c>
      <c r="BI24" s="82">
        <f t="shared" si="109"/>
        <v>0</v>
      </c>
      <c r="BJ24" s="82">
        <f t="shared" si="109"/>
        <v>208</v>
      </c>
      <c r="BK24" s="82">
        <f t="shared" si="109"/>
        <v>1394.33125</v>
      </c>
      <c r="BL24" s="82">
        <f t="shared" si="109"/>
        <v>0</v>
      </c>
      <c r="BM24" s="82">
        <f t="shared" si="109"/>
        <v>0</v>
      </c>
      <c r="BN24" s="82">
        <f t="shared" si="109"/>
        <v>0</v>
      </c>
      <c r="BO24" s="82">
        <f t="shared" si="109"/>
        <v>0</v>
      </c>
      <c r="BP24" s="82">
        <f t="shared" si="109"/>
        <v>0</v>
      </c>
      <c r="BQ24" s="82">
        <f t="shared" si="109"/>
        <v>0</v>
      </c>
      <c r="BR24" s="82">
        <f t="shared" si="109"/>
        <v>2</v>
      </c>
      <c r="BS24" s="82">
        <f t="shared" si="109"/>
        <v>0</v>
      </c>
      <c r="BT24" s="82">
        <f t="shared" ref="BT24:CY24" si="110">SUM(BT9:BT23)</f>
        <v>-2</v>
      </c>
      <c r="BU24" s="82">
        <f t="shared" si="110"/>
        <v>0</v>
      </c>
      <c r="BV24" s="82">
        <f t="shared" si="110"/>
        <v>1153.8461538461538</v>
      </c>
      <c r="BW24" s="82">
        <f t="shared" si="110"/>
        <v>0</v>
      </c>
      <c r="BX24" s="82">
        <f t="shared" si="110"/>
        <v>0</v>
      </c>
      <c r="BY24" s="82">
        <f t="shared" si="110"/>
        <v>0</v>
      </c>
      <c r="BZ24" s="82">
        <f t="shared" si="110"/>
        <v>0</v>
      </c>
      <c r="CA24" s="82">
        <f t="shared" si="110"/>
        <v>0</v>
      </c>
      <c r="CB24" s="82">
        <f t="shared" si="110"/>
        <v>0</v>
      </c>
      <c r="CC24" s="82">
        <f t="shared" si="110"/>
        <v>0</v>
      </c>
      <c r="CD24" s="82">
        <f t="shared" si="110"/>
        <v>0</v>
      </c>
      <c r="CE24" s="82">
        <f t="shared" si="110"/>
        <v>0</v>
      </c>
      <c r="CF24" s="82">
        <f t="shared" si="110"/>
        <v>0</v>
      </c>
      <c r="CG24" s="82">
        <f t="shared" si="110"/>
        <v>0</v>
      </c>
      <c r="CH24" s="82">
        <f t="shared" si="110"/>
        <v>0</v>
      </c>
      <c r="CI24" s="82">
        <f t="shared" si="110"/>
        <v>580</v>
      </c>
      <c r="CJ24" s="82">
        <f t="shared" si="110"/>
        <v>-580.47435897435901</v>
      </c>
      <c r="CK24" s="82">
        <f t="shared" si="110"/>
        <v>60</v>
      </c>
      <c r="CL24" s="82">
        <f t="shared" si="110"/>
        <v>-62.500000000000007</v>
      </c>
      <c r="CM24" s="82">
        <f t="shared" si="110"/>
        <v>17</v>
      </c>
      <c r="CN24" s="82">
        <f t="shared" si="110"/>
        <v>-8485.6153846153848</v>
      </c>
      <c r="CO24" s="82">
        <f t="shared" si="110"/>
        <v>-9128.5897435897441</v>
      </c>
      <c r="CP24" s="82">
        <f t="shared" si="110"/>
        <v>109206.21266025641</v>
      </c>
      <c r="CQ24" s="82">
        <f t="shared" si="110"/>
        <v>0</v>
      </c>
      <c r="CR24" s="82">
        <f t="shared" si="110"/>
        <v>0</v>
      </c>
      <c r="CS24" s="82">
        <f t="shared" si="110"/>
        <v>0</v>
      </c>
      <c r="CT24" s="82">
        <f t="shared" si="110"/>
        <v>0</v>
      </c>
      <c r="CU24" s="82">
        <f t="shared" si="110"/>
        <v>0</v>
      </c>
      <c r="CV24" s="82">
        <f t="shared" si="110"/>
        <v>0</v>
      </c>
      <c r="CW24" s="82">
        <f t="shared" si="110"/>
        <v>9022.5</v>
      </c>
      <c r="CX24" s="82">
        <f t="shared" si="110"/>
        <v>19047.5</v>
      </c>
      <c r="CY24" s="82">
        <f t="shared" si="110"/>
        <v>150</v>
      </c>
      <c r="CZ24" s="82">
        <f t="shared" ref="CZ24:EE24" si="111">SUM(CZ9:CZ23)</f>
        <v>28220</v>
      </c>
      <c r="DA24" s="82">
        <f t="shared" si="111"/>
        <v>4011.4400000000005</v>
      </c>
      <c r="DB24" s="82">
        <f t="shared" si="111"/>
        <v>4011.4400000000005</v>
      </c>
      <c r="DC24" s="82">
        <f t="shared" si="111"/>
        <v>8022.880000000001</v>
      </c>
      <c r="DD24" s="82">
        <f t="shared" si="111"/>
        <v>1500</v>
      </c>
      <c r="DE24" s="82">
        <f t="shared" si="111"/>
        <v>1500</v>
      </c>
      <c r="DF24" s="82">
        <f t="shared" si="111"/>
        <v>3000</v>
      </c>
      <c r="DG24" s="82">
        <f t="shared" si="111"/>
        <v>14533.940000000002</v>
      </c>
      <c r="DH24" s="82">
        <f t="shared" si="111"/>
        <v>0</v>
      </c>
      <c r="DI24" s="82">
        <f t="shared" si="111"/>
        <v>0</v>
      </c>
      <c r="DJ24" s="82">
        <f t="shared" si="111"/>
        <v>0</v>
      </c>
      <c r="DK24" s="82">
        <f t="shared" si="111"/>
        <v>0</v>
      </c>
      <c r="DL24" s="82">
        <f t="shared" si="111"/>
        <v>0</v>
      </c>
      <c r="DM24" s="82">
        <f t="shared" si="111"/>
        <v>0</v>
      </c>
      <c r="DN24" s="82">
        <f t="shared" si="111"/>
        <v>0</v>
      </c>
      <c r="DO24" s="82">
        <f t="shared" si="111"/>
        <v>0</v>
      </c>
      <c r="DP24" s="82">
        <f t="shared" si="111"/>
        <v>0</v>
      </c>
      <c r="DQ24" s="82">
        <f t="shared" si="111"/>
        <v>0</v>
      </c>
      <c r="DR24" s="82">
        <f t="shared" si="111"/>
        <v>0</v>
      </c>
      <c r="DS24" s="82">
        <f t="shared" si="111"/>
        <v>0</v>
      </c>
      <c r="DT24" s="82">
        <f t="shared" si="111"/>
        <v>0</v>
      </c>
      <c r="DU24" s="82">
        <f t="shared" si="111"/>
        <v>0</v>
      </c>
      <c r="DV24" s="82">
        <f t="shared" si="111"/>
        <v>0</v>
      </c>
      <c r="DW24" s="82">
        <f t="shared" si="111"/>
        <v>-379.16</v>
      </c>
      <c r="DX24" s="82">
        <f t="shared" si="111"/>
        <v>0</v>
      </c>
      <c r="DY24" s="82">
        <f t="shared" si="111"/>
        <v>-379.16</v>
      </c>
      <c r="DZ24" s="82">
        <f t="shared" si="111"/>
        <v>3308.2200000000007</v>
      </c>
      <c r="EA24" s="82">
        <f t="shared" si="111"/>
        <v>0</v>
      </c>
      <c r="EB24" s="82">
        <f t="shared" si="111"/>
        <v>0</v>
      </c>
      <c r="EC24" s="82">
        <f t="shared" si="111"/>
        <v>0</v>
      </c>
      <c r="ED24" s="82">
        <f t="shared" si="111"/>
        <v>0</v>
      </c>
      <c r="EE24" s="82">
        <f t="shared" si="111"/>
        <v>250</v>
      </c>
      <c r="EF24" s="82">
        <f t="shared" ref="EF24:EN24" si="112">SUM(EF9:EF23)</f>
        <v>3558.2200000000007</v>
      </c>
      <c r="EG24" s="82">
        <f t="shared" si="112"/>
        <v>17713</v>
      </c>
      <c r="EH24" s="82">
        <f t="shared" si="112"/>
        <v>91493.212660256409</v>
      </c>
      <c r="EI24" s="82">
        <f t="shared" si="112"/>
        <v>131714.89624999999</v>
      </c>
      <c r="EJ24" s="82">
        <f t="shared" si="112"/>
        <v>0</v>
      </c>
      <c r="EK24" s="82">
        <f t="shared" si="112"/>
        <v>0</v>
      </c>
      <c r="EL24" s="82">
        <f t="shared" si="112"/>
        <v>0</v>
      </c>
      <c r="EM24" s="82">
        <f t="shared" si="112"/>
        <v>91493.212660256409</v>
      </c>
      <c r="EN24" s="82">
        <f t="shared" si="112"/>
        <v>7692.6047008547012</v>
      </c>
      <c r="EO24" s="93" t="str">
        <f>+EO23</f>
        <v>15</v>
      </c>
      <c r="EP24" s="214">
        <f t="shared" si="59"/>
        <v>124692.93803418805</v>
      </c>
      <c r="EQ24" s="83">
        <f>IFERROR(O24+IFERROR(VLOOKUP(B24,'[1]Mar1 Payroll'!$B$9:$FJ$68,131,FALSE),),0)</f>
        <v>100286</v>
      </c>
      <c r="ER24" s="83">
        <f>IFERROR(Q24+W24+AO24+BK24+BL24+IFERROR(VLOOKUP(B24,'[1]Mar1 Payroll'!$B$9:$FJ$68,132,FALSE),),)</f>
        <v>16894.956249999999</v>
      </c>
      <c r="ES24" s="83">
        <f t="array" ref="ES24">IFERROR(IF(BX24+CB24+CD24+CE24+CF24+EN24+IFERROR(SUM(VLOOKUP(B24,'[1]Mar1 Payroll'!$B$9:$FJ$68,{133,137,140,141,144,146,147,148},FALSE)),)&gt;90000,EN24+IFERROR(SUM(VLOOKUP(B24,'[1]Mar1 Payroll'!$B$9:$FJ$68,{133,144},FALSE)),),IF(BX24+CB24+CD24+CE24+CF24+EN24+IFERROR(SUM(VLOOKUP(B24,'[1]Mar1 Payroll'!$B$9:$EK$68,{133,137,140,141,144,146,147,148},FALSE)),)&lt;90000,0,0)),0)</f>
        <v>0</v>
      </c>
      <c r="ET24" s="83">
        <f>IFERROR(BW24+IFERROR(VLOOKUP(B24,'[1]Mar1 Payroll'!$B$9:$FJ$68,134,FALSE),),0)</f>
        <v>0</v>
      </c>
      <c r="EU24" s="83">
        <f>IFERROR(BU24+IFERROR(VLOOKUP(B24,'[1]Mar1 Payroll'!$B$9:$FJ$68,135,FALSE),),0)</f>
        <v>0</v>
      </c>
      <c r="EV24" s="83">
        <f>IFERROR(BV24+IFERROR(VLOOKUP(B24,'[1]Mar1 Payroll'!$B$9:$FJ$68,136,FALSE),),0)</f>
        <v>1153.8461538461538</v>
      </c>
      <c r="EW24" s="83">
        <f t="array" ref="EW24">IFERROR(IF(BX24+CB24+CD24+CE24+CF24+EN24+IFERROR(SUM(VLOOKUP(B24,'[1]Mar1 Payroll'!$B$9:$FJ$68,{133,137,140,141,144,146,147,148},FALSE)),)&gt;90000,BX24+IFERROR(SUM(VLOOKUP(B24,'[1]Mar1 Payroll'!$B$9:$FJ$68,{137,147},FALSE)),),IF(BX24+CB24+CD24+CE24+CF24+EN24+IFERROR(SUM(VLOOKUP(B24,'[1]Mar1 Payroll'!$B$9:$EK$68,{133,137,140,141,144,146,147,148},FALSE)),)&lt;90000,0,0)),0)</f>
        <v>0</v>
      </c>
      <c r="EX24" s="83">
        <f>IFERROR(BY24+IFERROR(VLOOKUP(B24,'[1]Mar1 Payroll'!$B$9:$FJ$68,138,FALSE),),0)</f>
        <v>0</v>
      </c>
      <c r="EY24" s="83">
        <f>IFERROR(BZ24+IFERROR(VLOOKUP(B24,'[1]Mar1 Payroll'!$B$9:$FJ$68,139,FALSE),),0)</f>
        <v>0</v>
      </c>
      <c r="EZ24" s="83">
        <f t="array" ref="EZ24">IFERROR(IF(BX24+CB24+CD24+CE24+CF24+EN24+IFERROR(SUM(VLOOKUP(B24,'[1]Mar1 Payroll'!$B$9:$FJ$68,{133,137,140,141,144,146,147,148},FALSE)),)&gt;90000,CB24+IFERROR(SUM(VLOOKUP(B24,'[1]Mar1 Payroll'!$B$9:$FJ$68,{140,146},FALSE)),),IF(BX24+CB24+CD24+CE24+CF24+EN24+IFERROR(SUM(VLOOKUP(B24,'[1]Mar1 Payroll'!$B$9:$EK$68,{133,137,140,141,144,146,147,148},FALSE)),)&lt;90000,0,0)),0)</f>
        <v>0</v>
      </c>
      <c r="FA24" s="83">
        <f t="array" ref="FA24">IFERROR(IF(BX24+CB24+CD24+CE24+CF24+EN24+IFERROR(SUM(VLOOKUP(B24,'[1]Mar1 Payroll'!$B$9:$FJ$68,{133,137,140,141,144,146,147,148},FALSE)),)&gt;90000,CD24+CE24+CF24+IFERROR(SUM(VLOOKUP(B24,'[1]Mar1 Payroll'!$B$9:$FJ$68,{141,148},FALSE)),),IF(BX24+CB24+CD24+CE24+CF24+EN24+IFERROR(SUM(VLOOKUP(B24,'[1]Mar1 Payroll'!$B$9:$EK$68,{133,137,140,141,144,146,147,148},FALSE)),)&lt;90000,0,0)),0)</f>
        <v>0</v>
      </c>
      <c r="FB24" s="83">
        <f t="shared" si="60"/>
        <v>0</v>
      </c>
      <c r="FC24" s="83">
        <f t="shared" si="61"/>
        <v>1153.8461538461538</v>
      </c>
      <c r="FD24" s="83">
        <f t="array" ref="FD24">IFERROR(IF(BX24+CB24+CD24+CE24+CF24+EN24+IFERROR(SUM(VLOOKUP(B24,'[1]Mar1 Payroll'!$B$9:$FJ$68,{133,137,140,141,144,146,147,148},FALSE)),)&gt;90000,0,IF(BX24+CB24+CD24+CE24+CF24+EN24+IFERROR(SUM(VLOOKUP(B24,'[1]Mar1 Payroll'!$B$9:$EK$68,{133,137,140,141,144,146,147,148},FALSE)),)&lt;90000,EN24+IFERROR(SUM(VLOOKUP(B24,'[1]Mar1 Payroll'!$B$9:$FJ$68,{133,144},FALSE)),),)),)</f>
        <v>7692.6047008547012</v>
      </c>
      <c r="FE24" s="83">
        <f>IFERROR(CC24+IFERROR(VLOOKUP(B24,'[1]Mar1 Payroll'!$B$9:$FJ$68,145,FALSE),),0)</f>
        <v>0</v>
      </c>
      <c r="FF24" s="83">
        <f t="array" ref="FF24">IFERROR(IF(BX24+CB24+CD24+CE24+CF24+EN24+IFERROR(SUM(VLOOKUP(B24,'[1]Mar1 Payroll'!$B$9:$FJ$68,{133,137,140,141,144,146,147,148},FALSE)),)&gt;90000,0,IF(BX24+CB24+CD24+CE24+CF24+EN24+IFERROR(SUM(VLOOKUP(B24,'[1]Mar1 Payroll'!$B$9:$EK$68,{133,137,140,141,144,146,147,148},FALSE)),)&lt;90000,CB24+IFERROR(SUM(VLOOKUP(B24,'[1]Mar1 Payroll'!$B$9:$FJ$68,{140,146},FALSE)),))),0)</f>
        <v>0</v>
      </c>
      <c r="FG24" s="83">
        <f t="array" ref="FG24">IFERROR(IF(BX24+CB24+CD24+CE24+CF24+EN24+IFERROR(SUM(VLOOKUP(B24,'[1]Mar1 Payroll'!$B$9:$FJ$68,{133,137,140,141,144,146,147,148},FALSE)),)&gt;90000,0,IF(BX24+CB24+CD24+CE24+CF24+EN24+IFERROR(SUM(VLOOKUP(B24,'[1]Mar1 Payroll'!$B$9:$EK$68,{133,137,140,141,144,146,147,148},FALSE)),)&lt;90000,BX24+IFERROR(SUM(VLOOKUP(B24,'[1]Mar1 Payroll'!$B$9:$FJ$68,{137,147},FALSE)),))),0)</f>
        <v>0</v>
      </c>
      <c r="FH24" s="83">
        <f t="array" ref="FH24">IFERROR(IF(BX24+CB24+CD24+CE24+CF24+EN24+IFERROR(SUM(VLOOKUP(B24,'[1]Mar1 Payroll'!$B$9:$FJ$68,{133,137,140,141,144,146,147,148},FALSE)),)&gt;90000,0,IF(BX24+CB24+CD24+CE24+CF24+EN24+IFERROR(SUM(VLOOKUP(B24,'[1]Mar1 Payroll'!$B$9:$EK$68,{133,137,140,141,144,146,147,148},FALSE)),)&lt;90000,CD24+CE24+CF24+IFERROR(SUM(VLOOKUP(B24,'[1]Mar1 Payroll'!$B$9:$FJ$68,{141,148},FALSE)),))),0)</f>
        <v>0</v>
      </c>
      <c r="FI24" s="83">
        <f t="shared" si="62"/>
        <v>0</v>
      </c>
      <c r="FJ24" s="83">
        <f t="shared" si="63"/>
        <v>118334.80240384616</v>
      </c>
      <c r="FK24" s="83">
        <f>IFERROR(EJ24+EK24+EL24+IFERROR(VLOOKUP(B24,'[1]Mar1 Payroll'!$B$9:$FJ$68,151,FALSE),),0)</f>
        <v>0</v>
      </c>
      <c r="FL24" s="83">
        <f>IFERROR(CY24+IFERROR(VLOOKUP(B24,'[1]Mar1 Payroll'!$B$9:$FJ$68,152,FALSE),),0)</f>
        <v>150</v>
      </c>
      <c r="FM24" s="83">
        <f>IFERROR(DA24+DB24+IFERROR(VLOOKUP(B24,'[1]Mar1 Payroll'!$B$9:$FJ$68,153,FALSE),),0)</f>
        <v>8022.880000000001</v>
      </c>
      <c r="FN24" s="83">
        <f>IFERROR(DD24+DE24+IFERROR(VLOOKUP(B24,'[1]Mar1 Payroll'!$B$9:$FJ$68,154,FALSE),),0)</f>
        <v>3000</v>
      </c>
      <c r="FO24" s="83">
        <f>IFERROR(CO24+IFERROR(VLOOKUP(B24,'[1]Mar1 Payroll'!$B$9:$FJ$68,155,FALSE),),0)</f>
        <v>-9128.5897435897441</v>
      </c>
      <c r="FP24" s="83">
        <f>IFERROR(DZ24+EA24+EF24+IFERROR(VLOOKUP(B24,'[1]Mar1 Payroll'!$B$9:$FJ$68,156,FALSE),),0)</f>
        <v>6866.4400000000014</v>
      </c>
      <c r="FQ24" s="83">
        <f>IFERROR(DH24+IFERROR(VLOOKUP(B24,'[1]Mar1 Payroll'!$B$9:$FJ$68,157,FALSE),),0)</f>
        <v>0</v>
      </c>
      <c r="FR24" s="83">
        <f>IFERROR(DI24+IFERROR(VLOOKUP(B24,'[1]Mar1 Payroll'!$B$9:$FJ$68,158,FALSE),),0)</f>
        <v>0</v>
      </c>
      <c r="FS24" s="83">
        <f>IFERROR(DK24+IFERROR(VLOOKUP(B24,'[1]Mar1 Payroll'!$B$9:$FJ$68,159,FALSE),),0)</f>
        <v>0</v>
      </c>
      <c r="FT24" s="83">
        <f>IFERROR(DM24+IFERROR(VLOOKUP(B24,'[1]Mar1 Payroll'!$B$9:$FJ$68,160,FALSE),),0)</f>
        <v>0</v>
      </c>
      <c r="FU24" s="83">
        <f>IFERROR(DN24+IFERROR(VLOOKUP(B24,'[1]Mar1 Payroll'!$B$9:$FJ$68,161,FALSE),),0)</f>
        <v>0</v>
      </c>
      <c r="FV24" s="83">
        <f>IFERROR(DO24+IFERROR(VLOOKUP(B24,'[1]Mar1 Payroll'!$B$9:$FJ$68,162,FALSE),),0)</f>
        <v>0</v>
      </c>
      <c r="FW24" s="83">
        <f>IFERROR(DP24+IFERROR(VLOOKUP(B24,'[1]Mar1 Payroll'!$B$9:$FJ$68,163,FALSE),),0)</f>
        <v>0</v>
      </c>
      <c r="FX24" s="83">
        <f t="shared" si="64"/>
        <v>8910.7302564102574</v>
      </c>
      <c r="FY24" s="84">
        <f t="shared" si="65"/>
        <v>127245.53266025642</v>
      </c>
      <c r="FZ24" s="85"/>
      <c r="GA24" s="85"/>
      <c r="GB24" s="86">
        <f t="shared" si="66"/>
        <v>100286</v>
      </c>
      <c r="GC24" s="83">
        <f t="shared" si="67"/>
        <v>16894.956249999999</v>
      </c>
      <c r="GD24" s="83">
        <f t="shared" si="68"/>
        <v>0</v>
      </c>
      <c r="GE24" s="83">
        <f t="shared" si="69"/>
        <v>0</v>
      </c>
      <c r="GF24" s="83">
        <f t="shared" si="70"/>
        <v>0</v>
      </c>
      <c r="GG24" s="83">
        <f t="shared" si="71"/>
        <v>1153.8461538461538</v>
      </c>
      <c r="GH24" s="83">
        <f t="shared" si="72"/>
        <v>0</v>
      </c>
      <c r="GI24" s="83">
        <f t="shared" si="73"/>
        <v>0</v>
      </c>
      <c r="GJ24" s="83">
        <f t="shared" si="74"/>
        <v>0</v>
      </c>
      <c r="GK24" s="83">
        <f t="shared" si="75"/>
        <v>0</v>
      </c>
      <c r="GL24" s="83">
        <f t="shared" si="76"/>
        <v>0</v>
      </c>
      <c r="GM24" s="83">
        <f t="shared" si="77"/>
        <v>0</v>
      </c>
      <c r="GN24" s="83">
        <f t="shared" si="78"/>
        <v>1153.8461538461538</v>
      </c>
      <c r="GO24" s="83">
        <f t="shared" si="79"/>
        <v>7692.6047008547012</v>
      </c>
      <c r="GP24" s="83">
        <f t="shared" si="80"/>
        <v>0</v>
      </c>
      <c r="GQ24" s="83">
        <f t="shared" si="81"/>
        <v>0</v>
      </c>
      <c r="GR24" s="83">
        <f t="shared" si="82"/>
        <v>0</v>
      </c>
      <c r="GS24" s="83">
        <f t="shared" si="83"/>
        <v>0</v>
      </c>
      <c r="GT24" s="83">
        <f t="shared" si="84"/>
        <v>0</v>
      </c>
      <c r="GU24" s="83">
        <f t="shared" si="85"/>
        <v>118334.80240384616</v>
      </c>
      <c r="GV24" s="83">
        <f t="shared" ref="GV24:HH24" si="113">FK24</f>
        <v>0</v>
      </c>
      <c r="GW24" s="83">
        <f t="shared" si="113"/>
        <v>150</v>
      </c>
      <c r="GX24" s="83">
        <f t="shared" si="113"/>
        <v>8022.880000000001</v>
      </c>
      <c r="GY24" s="83">
        <f t="shared" si="113"/>
        <v>3000</v>
      </c>
      <c r="GZ24" s="83">
        <f t="shared" si="113"/>
        <v>-9128.5897435897441</v>
      </c>
      <c r="HA24" s="83">
        <f t="shared" si="113"/>
        <v>6866.4400000000014</v>
      </c>
      <c r="HB24" s="83">
        <f t="shared" si="113"/>
        <v>0</v>
      </c>
      <c r="HC24" s="83">
        <f t="shared" si="113"/>
        <v>0</v>
      </c>
      <c r="HD24" s="83">
        <f t="shared" si="113"/>
        <v>0</v>
      </c>
      <c r="HE24" s="83">
        <f t="shared" si="113"/>
        <v>0</v>
      </c>
      <c r="HF24" s="83">
        <f t="shared" si="113"/>
        <v>0</v>
      </c>
      <c r="HG24" s="83">
        <f t="shared" si="113"/>
        <v>0</v>
      </c>
      <c r="HH24" s="83">
        <f t="shared" si="113"/>
        <v>0</v>
      </c>
      <c r="HI24" s="83">
        <f t="shared" si="99"/>
        <v>8910.7302564102574</v>
      </c>
      <c r="HJ24" s="87">
        <f t="shared" si="100"/>
        <v>127245.53266025642</v>
      </c>
      <c r="HK24" s="85" t="s">
        <v>174</v>
      </c>
      <c r="HL24" s="88">
        <f t="shared" si="101"/>
        <v>91743.212660256409</v>
      </c>
      <c r="HM24" s="88">
        <f t="shared" si="102"/>
        <v>-250</v>
      </c>
      <c r="HN24" s="88"/>
      <c r="HO24" s="89">
        <v>17</v>
      </c>
      <c r="HQ24" s="91"/>
    </row>
    <row r="25" spans="1:233" x14ac:dyDescent="0.25">
      <c r="A25" s="103"/>
      <c r="B25" s="244"/>
      <c r="C25" s="104"/>
      <c r="D25" s="105"/>
      <c r="E25" s="106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227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4"/>
      <c r="CR25" s="104"/>
      <c r="CS25" s="104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>
        <v>3308.2200000000003</v>
      </c>
      <c r="EA25" s="105">
        <v>0</v>
      </c>
      <c r="EB25" s="105">
        <v>0</v>
      </c>
      <c r="EC25" s="105">
        <v>0</v>
      </c>
      <c r="ED25" s="105">
        <v>0</v>
      </c>
      <c r="EE25" s="105">
        <v>0</v>
      </c>
      <c r="EF25" s="105">
        <v>3308.2200000000003</v>
      </c>
      <c r="EG25" s="105"/>
      <c r="EH25" s="105"/>
      <c r="EI25" s="105"/>
      <c r="EJ25" s="105"/>
      <c r="EK25" s="105"/>
      <c r="EL25" s="105"/>
      <c r="EM25" s="105"/>
      <c r="EN25" s="105"/>
      <c r="EO25" s="107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  <c r="FU25" s="85"/>
      <c r="FV25" s="85"/>
      <c r="FW25" s="85"/>
      <c r="FX25" s="85"/>
      <c r="FY25" s="85"/>
      <c r="FZ25" s="85"/>
      <c r="GA25" s="85"/>
      <c r="GB25" s="189"/>
      <c r="GC25" s="189"/>
      <c r="GD25" s="189"/>
      <c r="GE25" s="189"/>
      <c r="GF25" s="189"/>
      <c r="GG25" s="189"/>
      <c r="GH25" s="189"/>
      <c r="GI25" s="189"/>
      <c r="GJ25" s="189"/>
      <c r="GK25" s="189"/>
      <c r="GL25" s="189"/>
      <c r="GM25" s="189"/>
      <c r="GN25" s="189"/>
      <c r="GO25" s="189"/>
      <c r="GP25" s="189"/>
      <c r="GQ25" s="189"/>
      <c r="GR25" s="189"/>
      <c r="GS25" s="189"/>
      <c r="GT25" s="189"/>
      <c r="GU25" s="189"/>
      <c r="GV25" s="189"/>
      <c r="GW25" s="189"/>
      <c r="GX25" s="189"/>
      <c r="GY25" s="189"/>
      <c r="GZ25" s="189"/>
      <c r="HA25" s="189"/>
      <c r="HB25" s="189"/>
      <c r="HC25" s="189"/>
      <c r="HD25" s="189"/>
      <c r="HE25" s="189"/>
      <c r="HF25" s="189"/>
      <c r="HG25" s="189"/>
      <c r="HH25" s="189"/>
      <c r="HI25" s="189"/>
      <c r="HJ25" s="189"/>
      <c r="HK25" s="85"/>
      <c r="HL25" s="88">
        <f t="shared" ref="HL25" si="114">+CP25-DG25-DR25-DS25-DT25-DU25-DV25-DW25-DX25-DZ25-EA25-EB25-EC25-ED25</f>
        <v>-3308.2200000000003</v>
      </c>
      <c r="HM25" s="88">
        <f t="shared" ref="HM25" si="115">+EM25-HL25</f>
        <v>3308.2200000000003</v>
      </c>
      <c r="HN25" s="88"/>
      <c r="HO25" s="89"/>
    </row>
    <row r="26" spans="1:233" x14ac:dyDescent="0.25">
      <c r="A26" s="103"/>
      <c r="B26" s="244"/>
      <c r="C26" s="104"/>
      <c r="D26" s="105"/>
      <c r="E26" s="106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227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5"/>
      <c r="CL26" s="105"/>
      <c r="CM26" s="105"/>
      <c r="CN26" s="105"/>
      <c r="CO26" s="105"/>
      <c r="CQ26" s="104"/>
      <c r="CR26" s="104"/>
      <c r="CS26" s="104"/>
      <c r="CT26" s="105"/>
      <c r="CU26" s="105"/>
      <c r="CV26" s="105"/>
      <c r="CW26" s="105"/>
      <c r="CX26" s="105"/>
      <c r="CY26" s="105"/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>
        <f>+DZ24-DZ25</f>
        <v>0</v>
      </c>
      <c r="EA26" s="105">
        <f t="shared" ref="EA26:EC26" si="116">+EA24-EA25</f>
        <v>0</v>
      </c>
      <c r="EB26" s="105">
        <f t="shared" si="116"/>
        <v>0</v>
      </c>
      <c r="EC26" s="105">
        <f t="shared" si="116"/>
        <v>0</v>
      </c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7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  <c r="FU26" s="85"/>
      <c r="FV26" s="85"/>
      <c r="FW26" s="85"/>
      <c r="FX26" s="85"/>
      <c r="FY26" s="85"/>
      <c r="FZ26" s="85"/>
      <c r="GA26" s="85"/>
      <c r="GB26" s="189"/>
      <c r="GC26" s="189"/>
      <c r="GD26" s="189"/>
      <c r="GE26" s="189"/>
      <c r="GF26" s="189"/>
      <c r="GG26" s="189"/>
      <c r="GH26" s="189"/>
      <c r="GI26" s="189"/>
      <c r="GJ26" s="189"/>
      <c r="GK26" s="189"/>
      <c r="GL26" s="189"/>
      <c r="GM26" s="189"/>
      <c r="GN26" s="189"/>
      <c r="GO26" s="189"/>
      <c r="GP26" s="189"/>
      <c r="GQ26" s="189"/>
      <c r="GR26" s="189"/>
      <c r="GS26" s="189"/>
      <c r="GT26" s="189"/>
      <c r="GU26" s="189"/>
      <c r="GV26" s="189"/>
      <c r="GW26" s="189"/>
      <c r="GX26" s="189"/>
      <c r="GY26" s="189"/>
      <c r="GZ26" s="189"/>
      <c r="HA26" s="189"/>
      <c r="HB26" s="189"/>
      <c r="HC26" s="189"/>
      <c r="HD26" s="189"/>
      <c r="HE26" s="189"/>
      <c r="HF26" s="189"/>
      <c r="HG26" s="189"/>
      <c r="HH26" s="189"/>
      <c r="HI26" s="189"/>
      <c r="HJ26" s="189"/>
      <c r="HK26" s="85"/>
      <c r="HL26" s="88"/>
      <c r="HM26" s="88"/>
      <c r="HN26" s="88"/>
      <c r="HO26" s="89"/>
    </row>
    <row r="27" spans="1:233" x14ac:dyDescent="0.25">
      <c r="A27" s="103"/>
      <c r="B27" s="244"/>
      <c r="C27" s="104"/>
      <c r="D27" s="105"/>
      <c r="E27" s="106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227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5"/>
      <c r="CL27" s="105"/>
      <c r="CM27" s="105"/>
      <c r="CN27" s="105"/>
      <c r="CO27" s="105"/>
      <c r="CP27" s="105"/>
      <c r="CQ27" s="104"/>
      <c r="CR27" s="104"/>
      <c r="CS27" s="104"/>
      <c r="CT27" s="105"/>
      <c r="CU27" s="105"/>
      <c r="CV27" s="105"/>
      <c r="CW27" s="105"/>
      <c r="CX27" s="105"/>
      <c r="CY27" s="105"/>
      <c r="CZ27" s="105"/>
      <c r="DA27" s="105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/>
      <c r="DT27" s="105"/>
      <c r="DU27" s="105"/>
      <c r="DV27" s="105"/>
      <c r="DW27" s="105"/>
      <c r="DX27" s="105"/>
      <c r="DY27" s="105"/>
      <c r="DZ27" s="105"/>
      <c r="EA27" s="105"/>
      <c r="EB27" s="105"/>
      <c r="EC27" s="105"/>
      <c r="ED27" s="105"/>
      <c r="EE27" s="105"/>
      <c r="EF27" s="105"/>
      <c r="EG27" s="105"/>
      <c r="EH27" s="105"/>
      <c r="EI27" s="105"/>
      <c r="EJ27" s="105"/>
      <c r="EK27" s="105"/>
      <c r="EL27" s="105"/>
      <c r="EM27" s="105"/>
      <c r="EN27" s="105"/>
      <c r="EO27" s="107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  <c r="FU27" s="85"/>
      <c r="FV27" s="85"/>
      <c r="FW27" s="85"/>
      <c r="FX27" s="85"/>
      <c r="FY27" s="85"/>
      <c r="FZ27" s="85"/>
      <c r="GA27" s="85"/>
      <c r="GB27" s="189"/>
      <c r="GC27" s="189"/>
      <c r="GD27" s="189"/>
      <c r="GE27" s="189"/>
      <c r="GF27" s="189"/>
      <c r="GG27" s="189"/>
      <c r="GH27" s="189"/>
      <c r="GI27" s="189"/>
      <c r="GJ27" s="189"/>
      <c r="GK27" s="189"/>
      <c r="GL27" s="189"/>
      <c r="GM27" s="189"/>
      <c r="GN27" s="189"/>
      <c r="GO27" s="189"/>
      <c r="GP27" s="189"/>
      <c r="GQ27" s="189"/>
      <c r="GR27" s="189"/>
      <c r="GS27" s="189"/>
      <c r="GT27" s="189"/>
      <c r="GU27" s="189"/>
      <c r="GV27" s="189"/>
      <c r="GW27" s="189"/>
      <c r="GX27" s="189"/>
      <c r="GY27" s="189"/>
      <c r="GZ27" s="189"/>
      <c r="HA27" s="189"/>
      <c r="HB27" s="189"/>
      <c r="HC27" s="189"/>
      <c r="HD27" s="189"/>
      <c r="HE27" s="189"/>
      <c r="HF27" s="189"/>
      <c r="HG27" s="189"/>
      <c r="HH27" s="189"/>
      <c r="HI27" s="189"/>
      <c r="HJ27" s="189"/>
      <c r="HK27" s="85"/>
      <c r="HL27" s="88"/>
      <c r="HM27" s="88"/>
      <c r="HN27" s="88"/>
      <c r="HO27" s="89"/>
    </row>
    <row r="28" spans="1:233" ht="15" thickBot="1" x14ac:dyDescent="0.3">
      <c r="EM28" s="253">
        <v>91493.212660256409</v>
      </c>
    </row>
    <row r="29" spans="1:233" ht="15" thickTop="1" x14ac:dyDescent="0.25">
      <c r="C29" s="97"/>
      <c r="CQ29" s="97"/>
      <c r="CT29" s="98"/>
      <c r="EP29" s="97"/>
      <c r="EQ29" s="199"/>
      <c r="GB29" s="92"/>
      <c r="HK29" s="101"/>
      <c r="HL29" s="92"/>
      <c r="HY29" s="90"/>
    </row>
    <row r="30" spans="1:233" ht="16.5" x14ac:dyDescent="0.3">
      <c r="C30" s="97"/>
      <c r="CQ30" s="97"/>
      <c r="CT30" s="98"/>
      <c r="DL30" s="191" t="s">
        <v>216</v>
      </c>
      <c r="DZ30" s="258" t="s">
        <v>255</v>
      </c>
      <c r="EG30" s="191" t="s">
        <v>217</v>
      </c>
      <c r="EP30" s="97"/>
      <c r="EQ30" s="199"/>
      <c r="GB30" s="92"/>
      <c r="HK30" s="101"/>
      <c r="HL30" s="92"/>
      <c r="HY30" s="90"/>
    </row>
    <row r="31" spans="1:233" x14ac:dyDescent="0.2">
      <c r="C31" s="190"/>
      <c r="G31" s="190"/>
      <c r="H31" s="190"/>
      <c r="I31" s="190"/>
      <c r="J31" s="191"/>
      <c r="K31" s="191"/>
      <c r="L31" s="191"/>
      <c r="CQ31" s="97"/>
      <c r="CT31" s="98"/>
      <c r="CW31" s="191"/>
      <c r="CX31" s="191"/>
      <c r="CY31" s="191"/>
      <c r="CZ31" s="191"/>
      <c r="DA31" s="191"/>
      <c r="DB31" s="191"/>
      <c r="DC31" s="191"/>
      <c r="DD31" s="191"/>
      <c r="DL31" s="191"/>
      <c r="DZ31" s="224"/>
      <c r="ED31" s="191"/>
      <c r="EE31" s="191"/>
      <c r="EG31" s="191"/>
      <c r="EP31" s="97"/>
      <c r="EQ31" s="97"/>
      <c r="ER31" s="97"/>
      <c r="ES31" s="97"/>
      <c r="ET31" s="97"/>
      <c r="EU31" s="97"/>
      <c r="EV31" s="97"/>
      <c r="EW31" s="97"/>
      <c r="EX31" s="97"/>
      <c r="EY31" s="97"/>
      <c r="EZ31" s="97"/>
      <c r="FA31" s="97"/>
      <c r="FB31" s="97"/>
      <c r="FC31" s="97"/>
      <c r="FD31" s="97"/>
      <c r="FE31" s="97"/>
      <c r="FF31" s="97"/>
      <c r="FG31" s="97"/>
      <c r="FH31" s="97"/>
      <c r="FI31" s="97"/>
      <c r="FJ31" s="97"/>
      <c r="FK31" s="97"/>
      <c r="FL31" s="97"/>
      <c r="FM31" s="97"/>
      <c r="FN31" s="97"/>
      <c r="FO31" s="97"/>
      <c r="FP31" s="97"/>
      <c r="FQ31" s="97"/>
      <c r="FR31" s="97"/>
      <c r="FS31" s="97"/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97"/>
      <c r="GG31" s="97"/>
      <c r="GH31" s="97"/>
      <c r="GI31" s="97"/>
      <c r="GJ31" s="97"/>
      <c r="GK31" s="97"/>
      <c r="GL31" s="97"/>
      <c r="GM31" s="97"/>
      <c r="GN31" s="97"/>
      <c r="GO31" s="97"/>
      <c r="GP31" s="97"/>
      <c r="GQ31" s="97"/>
      <c r="GR31" s="97"/>
      <c r="GS31" s="97"/>
      <c r="GT31" s="97"/>
      <c r="GU31" s="97"/>
      <c r="GV31" s="97"/>
      <c r="GW31" s="97"/>
      <c r="GX31" s="97"/>
      <c r="GY31" s="97"/>
      <c r="GZ31" s="97"/>
      <c r="HA31" s="97"/>
      <c r="HB31" s="97"/>
      <c r="HC31" s="97"/>
      <c r="HD31" s="97"/>
      <c r="HE31" s="97"/>
      <c r="HF31" s="97"/>
      <c r="HG31" s="97"/>
      <c r="HH31" s="97"/>
      <c r="HI31" s="97"/>
      <c r="HJ31" s="97"/>
      <c r="HK31" s="97"/>
      <c r="HL31" s="97"/>
      <c r="HM31" s="97"/>
      <c r="HN31" s="97"/>
      <c r="HO31" s="97"/>
      <c r="HY31" s="90"/>
    </row>
    <row r="32" spans="1:233" s="190" customFormat="1" ht="15" x14ac:dyDescent="0.25">
      <c r="A32" s="192"/>
      <c r="B32" s="245"/>
      <c r="C32" s="97"/>
      <c r="D32" s="191"/>
      <c r="G32" s="97"/>
      <c r="H32" s="97"/>
      <c r="I32" s="97"/>
      <c r="J32" s="191"/>
      <c r="K32" s="191"/>
      <c r="L32" s="97"/>
      <c r="U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91"/>
      <c r="BN32" s="191"/>
      <c r="BO32" s="191"/>
      <c r="BP32" s="191"/>
      <c r="BQ32" s="191"/>
      <c r="BR32" s="191"/>
      <c r="BS32" s="191"/>
      <c r="BT32" s="191"/>
      <c r="BU32" s="191"/>
      <c r="BV32" s="191"/>
      <c r="BW32" s="191"/>
      <c r="BX32" s="191"/>
      <c r="BY32" s="191"/>
      <c r="BZ32" s="191"/>
      <c r="CA32" s="191"/>
      <c r="CB32" s="191"/>
      <c r="CC32" s="191"/>
      <c r="CD32" s="191"/>
      <c r="CE32" s="191"/>
      <c r="CF32" s="191"/>
      <c r="CQ32" s="191"/>
      <c r="CR32" s="193"/>
      <c r="CS32" s="193"/>
      <c r="CT32" s="193"/>
      <c r="CU32" s="191"/>
      <c r="CV32" s="191"/>
      <c r="CW32" s="92"/>
      <c r="CX32" s="92"/>
      <c r="CY32" s="92"/>
      <c r="CZ32" s="97"/>
      <c r="DA32" s="92"/>
      <c r="DB32" s="92"/>
      <c r="DC32" s="92"/>
      <c r="DD32" s="92"/>
      <c r="DM32" s="191"/>
      <c r="DN32" s="191"/>
      <c r="DO32" s="191"/>
      <c r="DP32" s="191"/>
      <c r="DQ32" s="191"/>
      <c r="DR32" s="191"/>
      <c r="DS32" s="191"/>
      <c r="DT32" s="191"/>
      <c r="DU32" s="191"/>
      <c r="DV32" s="191"/>
      <c r="DW32" s="191"/>
      <c r="DZ32" s="225"/>
      <c r="EA32" s="191"/>
      <c r="EB32" s="191"/>
      <c r="ED32" s="191"/>
      <c r="EH32" s="191"/>
      <c r="EJ32" s="191"/>
      <c r="EK32" s="191"/>
      <c r="EL32" s="191"/>
      <c r="EM32" s="191"/>
      <c r="EN32" s="191"/>
      <c r="EO32" s="194"/>
      <c r="EP32" s="191"/>
      <c r="EQ32" s="216"/>
      <c r="GC32" s="195"/>
      <c r="GD32" s="195"/>
      <c r="GE32" s="195"/>
      <c r="GF32" s="195"/>
      <c r="GG32" s="195"/>
      <c r="GH32" s="195"/>
      <c r="GI32" s="195"/>
      <c r="GJ32" s="195"/>
      <c r="GK32" s="195"/>
      <c r="GL32" s="195"/>
      <c r="GM32" s="195"/>
      <c r="GN32" s="195"/>
      <c r="GO32" s="195"/>
      <c r="GP32" s="195"/>
      <c r="GQ32" s="195"/>
      <c r="GR32" s="195"/>
      <c r="GS32" s="195"/>
      <c r="GT32" s="195"/>
      <c r="GU32" s="195"/>
      <c r="GV32" s="195"/>
      <c r="GW32" s="195"/>
      <c r="GX32" s="195"/>
      <c r="GY32" s="195"/>
      <c r="GZ32" s="195"/>
      <c r="HA32" s="195"/>
      <c r="HB32" s="195"/>
      <c r="HC32" s="195"/>
      <c r="HD32" s="195"/>
      <c r="HE32" s="195"/>
      <c r="HF32" s="195"/>
      <c r="HG32" s="195"/>
      <c r="HH32" s="195"/>
      <c r="HI32" s="195"/>
      <c r="HJ32" s="195"/>
      <c r="HK32" s="195"/>
      <c r="HM32" s="196"/>
      <c r="HN32" s="196"/>
      <c r="HO32" s="197"/>
      <c r="HP32" s="196"/>
      <c r="HQ32" s="196"/>
      <c r="HR32" s="196"/>
      <c r="HS32" s="196"/>
      <c r="HT32" s="196"/>
      <c r="HU32" s="196"/>
      <c r="HV32" s="196"/>
      <c r="HW32" s="196"/>
      <c r="HX32" s="196"/>
      <c r="HY32" s="196"/>
    </row>
    <row r="33" spans="3:233" ht="15" x14ac:dyDescent="0.25">
      <c r="C33" s="97"/>
      <c r="CQ33" s="97"/>
      <c r="CT33" s="98"/>
      <c r="CX33" s="191"/>
      <c r="DL33" s="97" t="s">
        <v>249</v>
      </c>
      <c r="DZ33" s="226" t="s">
        <v>256</v>
      </c>
      <c r="EG33" s="97" t="s">
        <v>196</v>
      </c>
      <c r="EP33" s="97"/>
      <c r="EQ33" s="199"/>
      <c r="GB33" s="92"/>
      <c r="HK33" s="101"/>
      <c r="HL33" s="92"/>
      <c r="HY33" s="90"/>
    </row>
    <row r="34" spans="3:233" ht="15" x14ac:dyDescent="0.25">
      <c r="DL34" s="97" t="s">
        <v>250</v>
      </c>
      <c r="DZ34" s="226" t="s">
        <v>257</v>
      </c>
      <c r="EG34" s="97" t="s">
        <v>176</v>
      </c>
    </row>
    <row r="39" spans="3:233" x14ac:dyDescent="0.25">
      <c r="CJ39" s="190"/>
      <c r="CK39" s="190"/>
      <c r="CL39" s="190"/>
      <c r="CM39" s="190"/>
      <c r="CN39" s="190"/>
      <c r="CO39" s="190"/>
    </row>
    <row r="40" spans="3:233" x14ac:dyDescent="0.25">
      <c r="CI40" s="191"/>
      <c r="DW40" s="190"/>
    </row>
    <row r="41" spans="3:233" x14ac:dyDescent="0.25">
      <c r="DW41" s="92"/>
    </row>
    <row r="86" spans="131:133" x14ac:dyDescent="0.25"/>
  </sheetData>
  <sheetProtection selectLockedCells="1" selectUnlockedCells="1"/>
  <mergeCells count="89">
    <mergeCell ref="EE7:EE8"/>
    <mergeCell ref="DG7:DG8"/>
    <mergeCell ref="EB7:EB8"/>
    <mergeCell ref="EC7:EC8"/>
    <mergeCell ref="CW7:CZ7"/>
    <mergeCell ref="DA7:DC7"/>
    <mergeCell ref="DD7:DF7"/>
    <mergeCell ref="ED7:ED8"/>
    <mergeCell ref="CB7:CB8"/>
    <mergeCell ref="CC7:CC8"/>
    <mergeCell ref="CD7:CD8"/>
    <mergeCell ref="CE7:CE8"/>
    <mergeCell ref="CF7:CF8"/>
    <mergeCell ref="CP7:CP8"/>
    <mergeCell ref="CG7:CH7"/>
    <mergeCell ref="CI7:CJ7"/>
    <mergeCell ref="CM7:CN7"/>
    <mergeCell ref="CO7:CO8"/>
    <mergeCell ref="CQ7:CS7"/>
    <mergeCell ref="DZ7:DZ8"/>
    <mergeCell ref="EA7:EA8"/>
    <mergeCell ref="DH7:DK7"/>
    <mergeCell ref="DM7:DP7"/>
    <mergeCell ref="HB7:HH7"/>
    <mergeCell ref="CK7:CL7"/>
    <mergeCell ref="DR7:DX7"/>
    <mergeCell ref="FK7:FP7"/>
    <mergeCell ref="FQ7:FW7"/>
    <mergeCell ref="GD7:GL7"/>
    <mergeCell ref="GM7:GM8"/>
    <mergeCell ref="GO7:GS7"/>
    <mergeCell ref="GV7:HA7"/>
    <mergeCell ref="EI7:EI8"/>
    <mergeCell ref="EM7:EM8"/>
    <mergeCell ref="EN7:EN8"/>
    <mergeCell ref="ES7:FA7"/>
    <mergeCell ref="FB7:FB8"/>
    <mergeCell ref="FD7:FH7"/>
    <mergeCell ref="DY7:DY8"/>
    <mergeCell ref="EF7:EF8"/>
    <mergeCell ref="EG7:EG8"/>
    <mergeCell ref="EH7:EH8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BF7:BG7"/>
    <mergeCell ref="AH7:AI7"/>
    <mergeCell ref="AJ7:AK7"/>
    <mergeCell ref="AL7:AM7"/>
    <mergeCell ref="GB4:HJ6"/>
    <mergeCell ref="P6:Q6"/>
    <mergeCell ref="R6:U6"/>
    <mergeCell ref="X6:AM6"/>
    <mergeCell ref="AP6:BI6"/>
    <mergeCell ref="BM6:BV6"/>
    <mergeCell ref="BW6:CC6"/>
    <mergeCell ref="CD6:CF6"/>
    <mergeCell ref="CT6:DE6"/>
    <mergeCell ref="DH6:DQ6"/>
    <mergeCell ref="EJ6:EL6"/>
    <mergeCell ref="CA7:CA8"/>
    <mergeCell ref="BH7:BI7"/>
    <mergeCell ref="BJ7:BK7"/>
    <mergeCell ref="BM7:BN7"/>
    <mergeCell ref="BO7:BP7"/>
    <mergeCell ref="BQ7:BR7"/>
    <mergeCell ref="BS7:BT7"/>
    <mergeCell ref="BU7:BV7"/>
    <mergeCell ref="BW7:BW8"/>
    <mergeCell ref="BX7:BX8"/>
    <mergeCell ref="BY7:BY8"/>
    <mergeCell ref="BZ7:BZ8"/>
    <mergeCell ref="C7:J7"/>
    <mergeCell ref="AX1:AY1"/>
    <mergeCell ref="AZ7:BA7"/>
    <mergeCell ref="BB7:BC7"/>
    <mergeCell ref="BD7:BE7"/>
    <mergeCell ref="AN7:AO7"/>
    <mergeCell ref="AP7:AQ7"/>
    <mergeCell ref="AR7:AS7"/>
    <mergeCell ref="AT7:AU7"/>
    <mergeCell ref="AX7:AY7"/>
    <mergeCell ref="AV7:AW7"/>
  </mergeCells>
  <conditionalFormatting sqref="P29:P33">
    <cfRule type="duplicateValues" dxfId="3" priority="1"/>
  </conditionalFormatting>
  <pageMargins left="0.45" right="0.7" top="0.75" bottom="0.75" header="0.3" footer="0.3"/>
  <pageSetup paperSize="5" scale="50" fitToWidth="2" orientation="landscape" horizontalDpi="360" verticalDpi="360" r:id="rId1"/>
  <colBreaks count="1" manualBreakCount="1">
    <brk id="94" min="3" max="34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R29"/>
  <sheetViews>
    <sheetView topLeftCell="A10" zoomScale="78" zoomScaleNormal="78" zoomScaleSheetLayoutView="76" workbookViewId="0">
      <selection activeCell="H29" sqref="H29"/>
    </sheetView>
  </sheetViews>
  <sheetFormatPr defaultRowHeight="15" x14ac:dyDescent="0.25"/>
  <cols>
    <col min="1" max="1" width="13.5703125" customWidth="1"/>
    <col min="2" max="2" width="8.7109375" customWidth="1"/>
    <col min="3" max="3" width="12.28515625" customWidth="1"/>
    <col min="4" max="5" width="11.140625" bestFit="1" customWidth="1"/>
    <col min="6" max="6" width="14.7109375" customWidth="1"/>
    <col min="7" max="7" width="14.85546875" customWidth="1"/>
    <col min="8" max="8" width="11" bestFit="1" customWidth="1"/>
    <col min="9" max="9" width="13.140625" customWidth="1"/>
    <col min="10" max="10" width="11.140625" bestFit="1" customWidth="1"/>
    <col min="11" max="11" width="9.28515625" style="249" bestFit="1" customWidth="1"/>
    <col min="12" max="12" width="9.85546875" bestFit="1" customWidth="1"/>
    <col min="13" max="13" width="10" bestFit="1" customWidth="1"/>
    <col min="14" max="15" width="9.28515625" style="249" bestFit="1" customWidth="1"/>
    <col min="16" max="16" width="9.28515625" bestFit="1" customWidth="1"/>
  </cols>
  <sheetData>
    <row r="2" spans="1:18" s="232" customFormat="1" x14ac:dyDescent="0.25">
      <c r="A2" s="232" t="s">
        <v>87</v>
      </c>
      <c r="B2" s="232" t="s">
        <v>243</v>
      </c>
      <c r="C2" s="232" t="s">
        <v>90</v>
      </c>
      <c r="D2" s="232" t="s">
        <v>239</v>
      </c>
      <c r="E2" s="232" t="s">
        <v>240</v>
      </c>
      <c r="F2" s="233" t="s">
        <v>201</v>
      </c>
      <c r="G2" s="233" t="s">
        <v>202</v>
      </c>
      <c r="H2" s="232" t="s">
        <v>237</v>
      </c>
      <c r="I2" s="233" t="s">
        <v>238</v>
      </c>
      <c r="J2" s="232" t="s">
        <v>254</v>
      </c>
      <c r="K2" s="247"/>
      <c r="L2" s="246" t="s">
        <v>201</v>
      </c>
      <c r="M2" s="246" t="s">
        <v>202</v>
      </c>
      <c r="N2" s="247" t="s">
        <v>203</v>
      </c>
      <c r="O2" s="247" t="s">
        <v>201</v>
      </c>
      <c r="P2" s="246" t="s">
        <v>202</v>
      </c>
      <c r="Q2" s="232" t="s">
        <v>201</v>
      </c>
      <c r="R2" s="232" t="s">
        <v>202</v>
      </c>
    </row>
    <row r="3" spans="1:18" x14ac:dyDescent="0.25">
      <c r="A3" t="s">
        <v>188</v>
      </c>
      <c r="B3" t="s">
        <v>187</v>
      </c>
      <c r="C3" t="s">
        <v>189</v>
      </c>
      <c r="D3" t="s">
        <v>241</v>
      </c>
      <c r="E3" s="230">
        <f>6899.03846153846+379.16</f>
        <v>7278.1984615384599</v>
      </c>
      <c r="F3" s="230">
        <f>L3+O3+Q3</f>
        <v>1075</v>
      </c>
      <c r="G3" s="230">
        <f>M3+N3+P3+R3</f>
        <v>1835</v>
      </c>
      <c r="H3" s="231">
        <v>1049</v>
      </c>
      <c r="I3" s="230">
        <v>574.91987179487182</v>
      </c>
      <c r="J3" s="231">
        <f>E3-F3-H3</f>
        <v>5154.1984615384599</v>
      </c>
      <c r="K3" s="248"/>
      <c r="L3" s="230">
        <v>675</v>
      </c>
      <c r="M3" s="230">
        <v>1425</v>
      </c>
      <c r="N3" s="248">
        <v>10</v>
      </c>
      <c r="O3" s="248">
        <v>300</v>
      </c>
      <c r="P3" s="230">
        <v>300</v>
      </c>
      <c r="Q3">
        <v>100</v>
      </c>
      <c r="R3">
        <v>100</v>
      </c>
    </row>
    <row r="4" spans="1:18" x14ac:dyDescent="0.25">
      <c r="A4" t="s">
        <v>232</v>
      </c>
      <c r="B4" t="s">
        <v>187</v>
      </c>
      <c r="C4" t="s">
        <v>233</v>
      </c>
      <c r="D4" t="s">
        <v>241</v>
      </c>
      <c r="E4" s="230">
        <v>6000</v>
      </c>
      <c r="F4" s="230">
        <f t="shared" ref="F4:F17" si="0">L4+O4+Q4</f>
        <v>880</v>
      </c>
      <c r="G4" s="230">
        <f t="shared" ref="G4:G17" si="1">M4+N4+P4+R4</f>
        <v>1490</v>
      </c>
      <c r="H4" s="231">
        <v>0</v>
      </c>
      <c r="I4" s="230">
        <v>500</v>
      </c>
      <c r="J4" s="231">
        <f t="shared" ref="J4:J17" si="2">E4-F4-H4</f>
        <v>5120</v>
      </c>
      <c r="K4" s="248"/>
      <c r="L4" s="230">
        <v>540</v>
      </c>
      <c r="M4" s="230">
        <v>1140</v>
      </c>
      <c r="N4" s="248">
        <v>10</v>
      </c>
      <c r="O4" s="248">
        <v>240</v>
      </c>
      <c r="P4" s="230">
        <v>240</v>
      </c>
      <c r="Q4">
        <v>100</v>
      </c>
      <c r="R4">
        <v>100</v>
      </c>
    </row>
    <row r="5" spans="1:18" x14ac:dyDescent="0.25">
      <c r="A5" t="s">
        <v>191</v>
      </c>
      <c r="B5" t="s">
        <v>187</v>
      </c>
      <c r="C5" t="s">
        <v>190</v>
      </c>
      <c r="D5" t="s">
        <v>241</v>
      </c>
      <c r="E5" s="230">
        <v>7750</v>
      </c>
      <c r="F5" s="230">
        <f t="shared" si="0"/>
        <v>1107.5</v>
      </c>
      <c r="G5" s="230">
        <f t="shared" si="1"/>
        <v>1892.5</v>
      </c>
      <c r="H5" s="231">
        <v>0</v>
      </c>
      <c r="I5" s="230">
        <v>645.83333333333337</v>
      </c>
      <c r="J5" s="231">
        <f t="shared" si="2"/>
        <v>6642.5</v>
      </c>
      <c r="K5" s="248"/>
      <c r="L5" s="230">
        <v>697.5</v>
      </c>
      <c r="M5" s="230">
        <v>1472.5</v>
      </c>
      <c r="N5" s="248">
        <v>10</v>
      </c>
      <c r="O5" s="248">
        <v>310</v>
      </c>
      <c r="P5" s="230">
        <v>310</v>
      </c>
      <c r="Q5">
        <v>100</v>
      </c>
      <c r="R5">
        <v>100</v>
      </c>
    </row>
    <row r="6" spans="1:18" x14ac:dyDescent="0.25">
      <c r="A6" t="s">
        <v>192</v>
      </c>
      <c r="B6" t="s">
        <v>187</v>
      </c>
      <c r="C6" t="s">
        <v>190</v>
      </c>
      <c r="D6" t="s">
        <v>241</v>
      </c>
      <c r="E6" s="230">
        <v>7750</v>
      </c>
      <c r="F6" s="230">
        <f t="shared" si="0"/>
        <v>1107.5</v>
      </c>
      <c r="G6" s="230">
        <f t="shared" si="1"/>
        <v>1892.5</v>
      </c>
      <c r="H6" s="231">
        <v>772.3</v>
      </c>
      <c r="I6" s="230">
        <v>645.83333333333337</v>
      </c>
      <c r="J6" s="231">
        <f t="shared" si="2"/>
        <v>5870.2</v>
      </c>
      <c r="K6" s="248"/>
      <c r="L6" s="230">
        <v>697.5</v>
      </c>
      <c r="M6" s="230">
        <v>1472.5</v>
      </c>
      <c r="N6" s="248">
        <v>10</v>
      </c>
      <c r="O6" s="248">
        <v>310</v>
      </c>
      <c r="P6" s="230">
        <v>310</v>
      </c>
      <c r="Q6">
        <v>100</v>
      </c>
      <c r="R6">
        <v>100</v>
      </c>
    </row>
    <row r="7" spans="1:18" x14ac:dyDescent="0.25">
      <c r="A7" t="s">
        <v>193</v>
      </c>
      <c r="B7" t="s">
        <v>187</v>
      </c>
      <c r="C7" t="s">
        <v>197</v>
      </c>
      <c r="D7" t="s">
        <v>241</v>
      </c>
      <c r="E7" s="230">
        <v>5384.6153846153848</v>
      </c>
      <c r="F7" s="230">
        <f t="shared" si="0"/>
        <v>1010</v>
      </c>
      <c r="G7" s="230">
        <f t="shared" si="1"/>
        <v>1720</v>
      </c>
      <c r="H7" s="231">
        <v>0</v>
      </c>
      <c r="I7" s="230">
        <v>448.71794871794873</v>
      </c>
      <c r="J7" s="231">
        <f t="shared" si="2"/>
        <v>4374.6153846153848</v>
      </c>
      <c r="K7" s="248"/>
      <c r="L7" s="230">
        <v>630</v>
      </c>
      <c r="M7" s="230">
        <v>1330</v>
      </c>
      <c r="N7" s="248">
        <v>10</v>
      </c>
      <c r="O7" s="248">
        <v>280</v>
      </c>
      <c r="P7" s="230">
        <v>280</v>
      </c>
      <c r="Q7">
        <v>100</v>
      </c>
      <c r="R7">
        <v>100</v>
      </c>
    </row>
    <row r="8" spans="1:18" x14ac:dyDescent="0.25">
      <c r="A8" t="s">
        <v>204</v>
      </c>
      <c r="B8" t="s">
        <v>187</v>
      </c>
      <c r="C8" t="s">
        <v>190</v>
      </c>
      <c r="D8" t="s">
        <v>241</v>
      </c>
      <c r="E8" s="230">
        <v>7750</v>
      </c>
      <c r="F8" s="230">
        <f t="shared" si="0"/>
        <v>1107.5</v>
      </c>
      <c r="G8" s="230">
        <f t="shared" si="1"/>
        <v>1892.5</v>
      </c>
      <c r="H8" s="231">
        <v>0</v>
      </c>
      <c r="I8" s="230">
        <v>645.83333333333337</v>
      </c>
      <c r="J8" s="231">
        <f t="shared" si="2"/>
        <v>6642.5</v>
      </c>
      <c r="K8" s="248"/>
      <c r="L8" s="230">
        <v>697.5</v>
      </c>
      <c r="M8" s="230">
        <v>1472.5</v>
      </c>
      <c r="N8" s="248">
        <v>10</v>
      </c>
      <c r="O8" s="248">
        <v>310</v>
      </c>
      <c r="P8" s="230">
        <v>310</v>
      </c>
      <c r="Q8">
        <v>100</v>
      </c>
      <c r="R8">
        <v>100</v>
      </c>
    </row>
    <row r="9" spans="1:18" x14ac:dyDescent="0.25">
      <c r="A9" t="s">
        <v>205</v>
      </c>
      <c r="B9" t="s">
        <v>187</v>
      </c>
      <c r="C9" t="s">
        <v>197</v>
      </c>
      <c r="D9" t="s">
        <v>241</v>
      </c>
      <c r="E9" s="230">
        <v>6439.1025641025644</v>
      </c>
      <c r="F9" s="230">
        <f t="shared" si="0"/>
        <v>1010</v>
      </c>
      <c r="G9" s="230">
        <f t="shared" si="1"/>
        <v>1720</v>
      </c>
      <c r="H9" s="231">
        <v>0</v>
      </c>
      <c r="I9" s="230">
        <v>536.59188034188037</v>
      </c>
      <c r="J9" s="231">
        <f t="shared" si="2"/>
        <v>5429.1025641025644</v>
      </c>
      <c r="K9" s="248"/>
      <c r="L9" s="230">
        <v>630</v>
      </c>
      <c r="M9" s="230">
        <v>1330</v>
      </c>
      <c r="N9" s="248">
        <v>10</v>
      </c>
      <c r="O9" s="248">
        <v>280</v>
      </c>
      <c r="P9" s="230">
        <v>280</v>
      </c>
      <c r="Q9">
        <v>100</v>
      </c>
      <c r="R9">
        <v>100</v>
      </c>
    </row>
    <row r="10" spans="1:18" x14ac:dyDescent="0.25">
      <c r="A10" t="s">
        <v>214</v>
      </c>
      <c r="B10" t="s">
        <v>187</v>
      </c>
      <c r="C10" t="s">
        <v>197</v>
      </c>
      <c r="D10" t="s">
        <v>241</v>
      </c>
      <c r="E10" s="230">
        <v>7000</v>
      </c>
      <c r="F10" s="230">
        <f t="shared" si="0"/>
        <v>1010</v>
      </c>
      <c r="G10" s="230">
        <f t="shared" si="1"/>
        <v>1720</v>
      </c>
      <c r="H10" s="231">
        <v>310</v>
      </c>
      <c r="I10" s="230">
        <v>583.33333333333337</v>
      </c>
      <c r="J10" s="231">
        <f t="shared" si="2"/>
        <v>5680</v>
      </c>
      <c r="K10" s="248"/>
      <c r="L10" s="230">
        <v>630</v>
      </c>
      <c r="M10" s="230">
        <v>1330</v>
      </c>
      <c r="N10" s="248">
        <v>10</v>
      </c>
      <c r="O10" s="248">
        <v>280</v>
      </c>
      <c r="P10" s="230">
        <v>280</v>
      </c>
      <c r="Q10">
        <v>100</v>
      </c>
      <c r="R10">
        <v>100</v>
      </c>
    </row>
    <row r="11" spans="1:18" x14ac:dyDescent="0.25">
      <c r="A11" t="s">
        <v>218</v>
      </c>
      <c r="B11" t="s">
        <v>187</v>
      </c>
      <c r="C11" t="s">
        <v>190</v>
      </c>
      <c r="D11" t="s">
        <v>241</v>
      </c>
      <c r="E11" s="230">
        <v>9140.625</v>
      </c>
      <c r="F11" s="230">
        <f t="shared" si="0"/>
        <v>945</v>
      </c>
      <c r="G11" s="230">
        <f t="shared" si="1"/>
        <v>1605</v>
      </c>
      <c r="H11" s="231">
        <v>322</v>
      </c>
      <c r="I11" s="230">
        <v>458.33333333333331</v>
      </c>
      <c r="J11" s="231">
        <f t="shared" si="2"/>
        <v>7873.625</v>
      </c>
      <c r="K11" s="248"/>
      <c r="L11" s="230">
        <v>585</v>
      </c>
      <c r="M11" s="230">
        <v>1235</v>
      </c>
      <c r="N11" s="248">
        <v>10</v>
      </c>
      <c r="O11" s="248">
        <v>260</v>
      </c>
      <c r="P11" s="230">
        <v>260</v>
      </c>
      <c r="Q11">
        <v>100</v>
      </c>
      <c r="R11">
        <v>100</v>
      </c>
    </row>
    <row r="12" spans="1:18" x14ac:dyDescent="0.25">
      <c r="A12" t="s">
        <v>231</v>
      </c>
      <c r="B12" t="s">
        <v>187</v>
      </c>
      <c r="C12" t="s">
        <v>190</v>
      </c>
      <c r="D12" t="s">
        <v>241</v>
      </c>
      <c r="E12" s="230">
        <v>8443.75</v>
      </c>
      <c r="F12" s="230">
        <f t="shared" si="0"/>
        <v>945</v>
      </c>
      <c r="G12" s="230">
        <f t="shared" si="1"/>
        <v>1605</v>
      </c>
      <c r="H12" s="231">
        <v>410.32</v>
      </c>
      <c r="I12" s="230">
        <v>468.75</v>
      </c>
      <c r="J12" s="231">
        <f t="shared" si="2"/>
        <v>7088.43</v>
      </c>
      <c r="K12" s="248"/>
      <c r="L12" s="230">
        <v>585</v>
      </c>
      <c r="M12" s="230">
        <v>1235</v>
      </c>
      <c r="N12" s="248">
        <v>10</v>
      </c>
      <c r="O12" s="248">
        <v>260</v>
      </c>
      <c r="P12" s="230">
        <v>260</v>
      </c>
      <c r="Q12">
        <v>100</v>
      </c>
      <c r="R12">
        <v>100</v>
      </c>
    </row>
    <row r="13" spans="1:18" x14ac:dyDescent="0.25">
      <c r="A13" t="s">
        <v>226</v>
      </c>
      <c r="B13" t="s">
        <v>187</v>
      </c>
      <c r="C13" t="s">
        <v>190</v>
      </c>
      <c r="D13" t="s">
        <v>241</v>
      </c>
      <c r="E13" s="230">
        <v>7242.1875</v>
      </c>
      <c r="F13" s="230">
        <f t="shared" si="0"/>
        <v>945</v>
      </c>
      <c r="G13" s="230">
        <f t="shared" si="1"/>
        <v>1605</v>
      </c>
      <c r="H13" s="231">
        <v>0</v>
      </c>
      <c r="I13" s="230">
        <v>541.66666666666663</v>
      </c>
      <c r="J13" s="231">
        <f t="shared" si="2"/>
        <v>6297.1875</v>
      </c>
      <c r="K13" s="248"/>
      <c r="L13" s="230">
        <v>585</v>
      </c>
      <c r="M13" s="230">
        <v>1235</v>
      </c>
      <c r="N13" s="248">
        <v>10</v>
      </c>
      <c r="O13" s="248">
        <v>260</v>
      </c>
      <c r="P13" s="230">
        <v>260</v>
      </c>
      <c r="Q13">
        <v>100</v>
      </c>
      <c r="R13">
        <v>100</v>
      </c>
    </row>
    <row r="14" spans="1:18" x14ac:dyDescent="0.25">
      <c r="A14" t="s">
        <v>219</v>
      </c>
      <c r="B14" t="s">
        <v>187</v>
      </c>
      <c r="C14" t="s">
        <v>197</v>
      </c>
      <c r="D14" t="s">
        <v>241</v>
      </c>
      <c r="E14" s="230">
        <v>6761.2875000000004</v>
      </c>
      <c r="F14" s="230">
        <f t="shared" si="0"/>
        <v>847.86</v>
      </c>
      <c r="G14" s="230">
        <f t="shared" si="1"/>
        <v>1432.8600000000001</v>
      </c>
      <c r="H14" s="231">
        <v>488</v>
      </c>
      <c r="I14" s="230">
        <v>479.91666666666669</v>
      </c>
      <c r="J14" s="231">
        <f t="shared" si="2"/>
        <v>5425.4275000000007</v>
      </c>
      <c r="K14" s="248"/>
      <c r="L14" s="230">
        <v>517.5</v>
      </c>
      <c r="M14" s="230">
        <v>1092.5</v>
      </c>
      <c r="N14" s="248">
        <v>10</v>
      </c>
      <c r="O14" s="248">
        <v>230.36</v>
      </c>
      <c r="P14" s="230">
        <v>230.36</v>
      </c>
      <c r="Q14">
        <v>100</v>
      </c>
      <c r="R14">
        <v>100</v>
      </c>
    </row>
    <row r="15" spans="1:18" x14ac:dyDescent="0.25">
      <c r="A15" t="s">
        <v>228</v>
      </c>
      <c r="B15" t="s">
        <v>187</v>
      </c>
      <c r="C15" t="s">
        <v>197</v>
      </c>
      <c r="D15" t="s">
        <v>241</v>
      </c>
      <c r="E15" s="230">
        <v>8652.34375</v>
      </c>
      <c r="F15" s="230">
        <f t="shared" si="0"/>
        <v>847.86</v>
      </c>
      <c r="G15" s="230">
        <f t="shared" si="1"/>
        <v>1432.8600000000001</v>
      </c>
      <c r="H15" s="231">
        <v>153.30000000000001</v>
      </c>
      <c r="I15" s="230">
        <v>443</v>
      </c>
      <c r="J15" s="231">
        <f t="shared" si="2"/>
        <v>7651.1837500000001</v>
      </c>
      <c r="K15" s="248"/>
      <c r="L15" s="230">
        <v>517.5</v>
      </c>
      <c r="M15" s="230">
        <v>1092.5</v>
      </c>
      <c r="N15" s="248">
        <v>10</v>
      </c>
      <c r="O15" s="248">
        <v>230.36</v>
      </c>
      <c r="P15" s="230">
        <v>230.36</v>
      </c>
      <c r="Q15">
        <v>100</v>
      </c>
      <c r="R15">
        <v>100</v>
      </c>
    </row>
    <row r="16" spans="1:18" x14ac:dyDescent="0.25">
      <c r="A16" t="s">
        <v>230</v>
      </c>
      <c r="B16" t="s">
        <v>187</v>
      </c>
      <c r="C16" t="s">
        <v>197</v>
      </c>
      <c r="D16" t="s">
        <v>241</v>
      </c>
      <c r="E16" s="230">
        <v>7791.2625000000007</v>
      </c>
      <c r="F16" s="230">
        <f t="shared" si="0"/>
        <v>847.86</v>
      </c>
      <c r="G16" s="230">
        <f t="shared" si="1"/>
        <v>1432.8600000000001</v>
      </c>
      <c r="H16" s="231">
        <v>53.3</v>
      </c>
      <c r="I16" s="230">
        <v>387.625</v>
      </c>
      <c r="J16" s="231">
        <f t="shared" si="2"/>
        <v>6890.1025000000009</v>
      </c>
      <c r="K16" s="248"/>
      <c r="L16" s="230">
        <v>517.5</v>
      </c>
      <c r="M16" s="230">
        <v>1092.5</v>
      </c>
      <c r="N16" s="248">
        <v>10</v>
      </c>
      <c r="O16" s="248">
        <v>230.36</v>
      </c>
      <c r="P16" s="230">
        <v>230.36</v>
      </c>
      <c r="Q16">
        <v>100</v>
      </c>
      <c r="R16">
        <v>100</v>
      </c>
    </row>
    <row r="17" spans="1:18" x14ac:dyDescent="0.25">
      <c r="A17" t="s">
        <v>229</v>
      </c>
      <c r="B17" t="s">
        <v>187</v>
      </c>
      <c r="C17" t="s">
        <v>197</v>
      </c>
      <c r="D17" t="s">
        <v>241</v>
      </c>
      <c r="E17" s="230">
        <v>6202</v>
      </c>
      <c r="F17" s="230">
        <f t="shared" si="0"/>
        <v>847.86</v>
      </c>
      <c r="G17" s="230">
        <f t="shared" si="1"/>
        <v>1432.8600000000001</v>
      </c>
      <c r="H17" s="231">
        <v>0</v>
      </c>
      <c r="I17" s="230">
        <v>332.25</v>
      </c>
      <c r="J17" s="231">
        <f t="shared" si="2"/>
        <v>5354.14</v>
      </c>
      <c r="K17" s="248"/>
      <c r="L17" s="230">
        <v>517.5</v>
      </c>
      <c r="M17" s="230">
        <v>1092.5</v>
      </c>
      <c r="N17" s="248">
        <v>10</v>
      </c>
      <c r="O17" s="248">
        <v>230.36</v>
      </c>
      <c r="P17" s="230">
        <v>230.36</v>
      </c>
      <c r="Q17">
        <v>100</v>
      </c>
      <c r="R17">
        <v>100</v>
      </c>
    </row>
    <row r="18" spans="1:18" x14ac:dyDescent="0.25">
      <c r="E18" s="231"/>
      <c r="F18" s="231"/>
      <c r="G18" s="231"/>
      <c r="H18" s="255"/>
      <c r="I18" s="231"/>
      <c r="J18" s="257"/>
    </row>
    <row r="19" spans="1:18" x14ac:dyDescent="0.25">
      <c r="J19" s="231">
        <f>SUM(J3:J18)</f>
        <v>91493.212660256409</v>
      </c>
    </row>
    <row r="20" spans="1:18" s="229" customFormat="1" x14ac:dyDescent="0.25">
      <c r="A20" s="229" t="s">
        <v>247</v>
      </c>
      <c r="K20" s="250"/>
      <c r="N20" s="250"/>
      <c r="O20" s="250"/>
    </row>
    <row r="21" spans="1:18" s="229" customFormat="1" x14ac:dyDescent="0.25">
      <c r="K21" s="250"/>
      <c r="N21" s="250"/>
      <c r="O21" s="250"/>
    </row>
    <row r="22" spans="1:18" x14ac:dyDescent="0.25">
      <c r="A22" t="s">
        <v>111</v>
      </c>
      <c r="C22" s="230"/>
    </row>
    <row r="24" spans="1:18" x14ac:dyDescent="0.25">
      <c r="C24" t="s">
        <v>244</v>
      </c>
      <c r="D24" t="s">
        <v>252</v>
      </c>
      <c r="E24" t="s">
        <v>253</v>
      </c>
      <c r="F24" t="s">
        <v>245</v>
      </c>
      <c r="G24" t="s">
        <v>246</v>
      </c>
    </row>
    <row r="25" spans="1:18" x14ac:dyDescent="0.25">
      <c r="A25" t="s">
        <v>241</v>
      </c>
      <c r="B25" t="s">
        <v>187</v>
      </c>
      <c r="C25" s="231">
        <v>109585.37266025641</v>
      </c>
      <c r="D25" s="231">
        <v>14533.940000000002</v>
      </c>
      <c r="E25" s="231">
        <v>24708.940000000002</v>
      </c>
      <c r="F25" s="231">
        <v>3558.2200000000007</v>
      </c>
      <c r="G25" s="231">
        <v>7692.6047008547012</v>
      </c>
    </row>
    <row r="26" spans="1:18" x14ac:dyDescent="0.25">
      <c r="A26" t="s">
        <v>242</v>
      </c>
      <c r="C26" s="231">
        <v>109585.37266025641</v>
      </c>
      <c r="D26" s="231">
        <v>14533.940000000002</v>
      </c>
      <c r="E26" s="231">
        <v>24708.940000000002</v>
      </c>
      <c r="F26" s="231">
        <v>3558.2200000000007</v>
      </c>
      <c r="G26" s="231">
        <v>7692.6047008547012</v>
      </c>
    </row>
    <row r="27" spans="1:18" x14ac:dyDescent="0.25">
      <c r="C27" s="230"/>
      <c r="D27" s="230"/>
      <c r="E27" s="230"/>
      <c r="F27" s="230"/>
      <c r="G27" s="230"/>
    </row>
    <row r="28" spans="1:18" x14ac:dyDescent="0.25">
      <c r="C28" s="230">
        <v>109206.21266025641</v>
      </c>
    </row>
    <row r="29" spans="1:18" x14ac:dyDescent="0.25">
      <c r="C29" s="256">
        <f>GETPIVOTDATA("Sum of GP",$A$23)-C28</f>
        <v>379.16000000000349</v>
      </c>
    </row>
  </sheetData>
  <pageMargins left="0.7" right="0.7" top="0.75" bottom="0.75" header="0.3" footer="0.3"/>
  <pageSetup scale="71" orientation="portrait" horizontalDpi="0" verticalDpi="0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1"/>
  <sheetViews>
    <sheetView workbookViewId="0">
      <selection sqref="A1:XFD1"/>
    </sheetView>
  </sheetViews>
  <sheetFormatPr defaultRowHeight="15" x14ac:dyDescent="0.25"/>
  <sheetData>
    <row r="1" spans="1:232" s="97" customFormat="1" ht="15.75" customHeight="1" x14ac:dyDescent="0.25">
      <c r="A1" s="217" t="s">
        <v>235</v>
      </c>
      <c r="B1" s="242" t="s">
        <v>220</v>
      </c>
      <c r="C1" s="169" t="s">
        <v>187</v>
      </c>
      <c r="D1" s="183"/>
      <c r="E1" s="169" t="s">
        <v>197</v>
      </c>
      <c r="F1" s="170" t="s">
        <v>194</v>
      </c>
      <c r="G1" s="171" t="s">
        <v>170</v>
      </c>
      <c r="H1" s="223">
        <v>11518</v>
      </c>
      <c r="I1" s="172">
        <f>IF(J1=0,H1/2,0)</f>
        <v>0</v>
      </c>
      <c r="J1" s="175">
        <v>13</v>
      </c>
      <c r="K1" s="251"/>
      <c r="L1" s="180">
        <f>H1/26</f>
        <v>443</v>
      </c>
      <c r="M1" s="180">
        <f>L1/8</f>
        <v>55.375</v>
      </c>
      <c r="N1" s="180">
        <f>M1/60</f>
        <v>0.92291666666666672</v>
      </c>
      <c r="O1" s="174">
        <f>I1+(J1*L1)</f>
        <v>5759</v>
      </c>
      <c r="P1" s="175"/>
      <c r="Q1" s="174">
        <f>(M1*1.25)*P1</f>
        <v>0</v>
      </c>
      <c r="R1" s="175"/>
      <c r="S1" s="174">
        <f>(M1*1.3)*R1</f>
        <v>0</v>
      </c>
      <c r="T1" s="171"/>
      <c r="U1" s="174">
        <f>(M1*1.69)*T1</f>
        <v>0</v>
      </c>
      <c r="V1" s="173">
        <f>R1+T1</f>
        <v>0</v>
      </c>
      <c r="W1" s="173">
        <f>+S1+U1</f>
        <v>0</v>
      </c>
      <c r="X1" s="171"/>
      <c r="Y1" s="174">
        <f>(M1*0.3)*X1</f>
        <v>0</v>
      </c>
      <c r="Z1" s="252"/>
      <c r="AA1" s="174">
        <f>(M1*1.69)*Z1</f>
        <v>0</v>
      </c>
      <c r="AB1" s="171"/>
      <c r="AC1" s="174">
        <f>(M1*0.5)*AB1</f>
        <v>0</v>
      </c>
      <c r="AD1" s="171"/>
      <c r="AE1" s="174">
        <f>(M1*1.95)*AD1</f>
        <v>0</v>
      </c>
      <c r="AF1" s="175"/>
      <c r="AG1" s="174">
        <f>M1*AF1</f>
        <v>0</v>
      </c>
      <c r="AH1" s="171"/>
      <c r="AI1" s="174">
        <f>(M1*2.6)*AH1</f>
        <v>0</v>
      </c>
      <c r="AJ1" s="171"/>
      <c r="AK1" s="174">
        <f>(M1*2.6)*AJ1</f>
        <v>0</v>
      </c>
      <c r="AL1" s="171"/>
      <c r="AM1" s="174">
        <f>(M1*3.38)*AL1</f>
        <v>0</v>
      </c>
      <c r="AN1" s="173">
        <f>X1+Z1+AB1+AD1+AF1+AH1+AJ1+AL1</f>
        <v>0</v>
      </c>
      <c r="AO1" s="173">
        <f>Y1+AA1+AC1+AE1+AG1+AI1+AK1+AM1</f>
        <v>0</v>
      </c>
      <c r="AP1" s="171"/>
      <c r="AQ1" s="174">
        <f>(M1*0.1)*AP1</f>
        <v>0</v>
      </c>
      <c r="AR1" s="171"/>
      <c r="AS1" s="174">
        <f>((M1*1.25)*0.1)*AR1</f>
        <v>0</v>
      </c>
      <c r="AT1" s="171"/>
      <c r="AU1" s="174">
        <f>((M1*2)*0.1)*AT1</f>
        <v>0</v>
      </c>
      <c r="AV1" s="171"/>
      <c r="AW1" s="228">
        <f>((M1*2.6)*0.1)*AV1</f>
        <v>0</v>
      </c>
      <c r="AX1" s="171"/>
      <c r="AY1" s="174">
        <f>((M1*2.6)*0.1)*AX1</f>
        <v>0</v>
      </c>
      <c r="AZ1" s="171"/>
      <c r="BA1" s="174">
        <f>((M1*3.38)*0.1)*AZ1</f>
        <v>0</v>
      </c>
      <c r="BB1" s="171"/>
      <c r="BC1" s="174">
        <f>((M1*1.3)*0.1)*BB1</f>
        <v>0</v>
      </c>
      <c r="BD1" s="171"/>
      <c r="BE1" s="174">
        <f>((M1*1.69)*0.1)*BD1</f>
        <v>0</v>
      </c>
      <c r="BF1" s="171"/>
      <c r="BG1" s="174">
        <f>((M1*1.5)*0.1)*BF1</f>
        <v>0</v>
      </c>
      <c r="BH1" s="171"/>
      <c r="BI1" s="174">
        <f>((M1*1.95)*0.1)*BH1</f>
        <v>0</v>
      </c>
      <c r="BJ1" s="176">
        <f>AP1+AR1+AT1+AV1+AX1+AZ1+BB1+BD1+BF1+BH1</f>
        <v>0</v>
      </c>
      <c r="BK1" s="173">
        <f>AQ1+AS1+AU1+AW1+AY1+BA1+BC1+BE1+BG1+BI1</f>
        <v>0</v>
      </c>
      <c r="BL1" s="171"/>
      <c r="BM1" s="174"/>
      <c r="BN1" s="174"/>
      <c r="BO1" s="171"/>
      <c r="BP1" s="171"/>
      <c r="BQ1" s="171"/>
      <c r="BR1" s="171"/>
      <c r="BS1" s="174">
        <f>BM1+BO1-BQ1</f>
        <v>0</v>
      </c>
      <c r="BT1" s="174">
        <f>BN1+BP1-BR1</f>
        <v>0</v>
      </c>
      <c r="BU1" s="173">
        <f>IFERROR(IF(J1&gt;1,L1*BQ1,),)</f>
        <v>0</v>
      </c>
      <c r="BV1" s="173">
        <f>IFERROR(IF(J1&gt;1,L1*BR1,),)</f>
        <v>0</v>
      </c>
      <c r="BW1" s="171"/>
      <c r="BX1" s="171"/>
      <c r="BY1" s="171"/>
      <c r="BZ1" s="171"/>
      <c r="CA1" s="171"/>
      <c r="CB1" s="171"/>
      <c r="CC1" s="171"/>
      <c r="CD1" s="171"/>
      <c r="CE1" s="171"/>
      <c r="CF1" s="171"/>
      <c r="CG1" s="171"/>
      <c r="CH1" s="174">
        <f>-M1*CG1</f>
        <v>0</v>
      </c>
      <c r="CI1" s="175"/>
      <c r="CJ1" s="174">
        <f>-N1*CI1</f>
        <v>0</v>
      </c>
      <c r="CK1" s="175"/>
      <c r="CL1" s="174">
        <f>-N1*CK1</f>
        <v>0</v>
      </c>
      <c r="CM1" s="171">
        <f>J1-K1</f>
        <v>13</v>
      </c>
      <c r="CN1" s="177">
        <f>-L1*CM1</f>
        <v>-5759</v>
      </c>
      <c r="CO1" s="173">
        <f>+CH1+CJ1+CL1+CN1</f>
        <v>-5759</v>
      </c>
      <c r="CP1" s="176">
        <f>O1+Q1+W1+AO1+BK1+BL1+BW1+BX1+BY1+BZ1+CA1+CB1+CC1+CF1+BV1+BU1+CO1</f>
        <v>0</v>
      </c>
      <c r="CQ1" s="187" t="str">
        <f>_xlfn.IFNA(VLOOKUP(B1,'[1]201'!$E$7:$H$66,2,FALSE),"")</f>
        <v/>
      </c>
      <c r="CR1" s="187" t="str">
        <f>_xlfn.IFNA(VLOOKUP(B1,'[1]201'!$E$7:$H$66,3,FALSE),"")</f>
        <v/>
      </c>
      <c r="CS1" s="187" t="str">
        <f>_xlfn.IFNA(VLOOKUP(B1,'[1]201'!$E$7:$H$66,4,FALSE),"")</f>
        <v/>
      </c>
      <c r="CT1" s="179"/>
      <c r="CU1" s="179"/>
      <c r="CV1" s="179"/>
      <c r="CW1" s="180">
        <v>517.5</v>
      </c>
      <c r="CX1" s="181">
        <v>1092.5</v>
      </c>
      <c r="CY1" s="182">
        <v>10</v>
      </c>
      <c r="CZ1" s="176">
        <f>SUM(CW1:CY1)</f>
        <v>1620</v>
      </c>
      <c r="DA1" s="181">
        <f>(H1*4%)/2</f>
        <v>230.36</v>
      </c>
      <c r="DB1" s="182">
        <f>DA1</f>
        <v>230.36</v>
      </c>
      <c r="DC1" s="176">
        <f>SUM(DA1:DB1)</f>
        <v>460.72</v>
      </c>
      <c r="DD1" s="181">
        <v>100</v>
      </c>
      <c r="DE1" s="182">
        <v>100</v>
      </c>
      <c r="DF1" s="176">
        <f>SUM(DD1:DE1)</f>
        <v>200</v>
      </c>
      <c r="DG1" s="176"/>
      <c r="DH1" s="215"/>
      <c r="DI1" s="183"/>
      <c r="DJ1" s="183"/>
      <c r="DK1" s="183"/>
      <c r="DL1" s="176">
        <f>+DH1+DI1+DJ1+DK1</f>
        <v>0</v>
      </c>
      <c r="DM1" s="183"/>
      <c r="DN1" s="183"/>
      <c r="DO1" s="183"/>
      <c r="DP1" s="183"/>
      <c r="DQ1" s="172">
        <f>+DM1+DN1+DO1+DP1</f>
        <v>0</v>
      </c>
      <c r="DR1" s="179"/>
      <c r="DS1" s="179"/>
      <c r="DT1" s="175"/>
      <c r="DU1" s="179"/>
      <c r="DV1" s="179"/>
      <c r="DW1" s="220"/>
      <c r="DX1" s="218"/>
      <c r="DY1" s="173">
        <f>+DR1+DS1+DU1+DV1+DW1+DX1</f>
        <v>0</v>
      </c>
      <c r="DZ1" s="179"/>
      <c r="EA1" s="215">
        <v>0</v>
      </c>
      <c r="EB1" s="215"/>
      <c r="EC1" s="215"/>
      <c r="ED1" s="179"/>
      <c r="EE1" s="184"/>
      <c r="EF1" s="185">
        <f>SUM(DZ1:EE1)</f>
        <v>0</v>
      </c>
      <c r="EG1" s="176">
        <f>+DG1+DL1+DQ1+DY1+EF1</f>
        <v>0</v>
      </c>
      <c r="EH1" s="176">
        <f>+CP1+(-EG1)</f>
        <v>0</v>
      </c>
      <c r="EI1" s="176">
        <f>O1+Q1+W1+AO1+BK1+DG1</f>
        <v>5759</v>
      </c>
      <c r="EJ1" s="176">
        <f>-IF(All!$EJ$8=1,IF(O1&lt;10417,0,IF(O1&lt;16667,((O1-10417)*0.2),IF(O1&lt;33333,((O1-16667)*0.25)+1250,IF(O1&lt;83333,((O1-33333)*0.3)+5416.67,IF(O1&lt;333333,((O1-83333)*0.32)+20416.67,((O1-333333)*0.35)+100416.67))))),0)</f>
        <v>0</v>
      </c>
      <c r="EK1" s="176">
        <f>-IF(All!$EK$8=1,IF(EI1&lt;10417,0,IF(EI1&lt;16667,((EI1-10417)*0.2),IF(EI1&lt;33333,((EI1-16667)*0.25)+1250,IF(EI1&lt;83333,((EI1-33333)*0.3)+5416.67,IF(EI1&lt;333333,((EI1-83333)*0.32)+20416.67,((EI1-333333)*0.35)+100416.67))))),0)</f>
        <v>0</v>
      </c>
      <c r="EL1" s="176">
        <f>-IF(All!$EL$8=1,IF(EH1&lt;10417,0,IF(EH1&lt;16667,((EH1-10417)*0.2),IF(EH1&lt;33333,((EH1-16667)*0.25)+1250,IF(EH1&lt;83333,((EH1-33333)*0.3)+5416.67,IF(EH1&lt;333333,((EH1-83333)*0.32)+20416.67,((EH1-333333)*0.35)+100416.67))))),0)</f>
        <v>0</v>
      </c>
      <c r="EM1" s="176">
        <f>EH1+EJ1+EK1+EL1</f>
        <v>0</v>
      </c>
      <c r="EN1" s="172">
        <f>+(J1*L1+BV1+CO1)/12</f>
        <v>0</v>
      </c>
      <c r="EO1" s="234" t="s">
        <v>235</v>
      </c>
      <c r="EP1" s="214">
        <f>+(J1*L1+BV1+CO1)/12</f>
        <v>0</v>
      </c>
      <c r="EQ1" s="83">
        <f>IFERROR(O1+IFERROR(VLOOKUP(B1,'[1]Mar1 Payroll'!$B$9:$FJ$68,131,FALSE),),0)</f>
        <v>5759</v>
      </c>
      <c r="ER1" s="83">
        <f>IFERROR(Q1+W1+AO1+BK1+BL1+IFERROR(VLOOKUP(B1,'[1]Mar1 Payroll'!$B$9:$FJ$68,132,FALSE),),)</f>
        <v>0</v>
      </c>
      <c r="ES1" s="83">
        <f t="array" ref="ES1">IFERROR(IF(BX1+CB1+CD1+CE1+CF1+EN1+IFERROR(SUM(VLOOKUP(B1,'[1]Mar1 Payroll'!$B$9:$FJ$68,{133,137,140,141,144,146,147,148},FALSE)),)&gt;90000,EN1+IFERROR(SUM(VLOOKUP(B1,'[1]Mar1 Payroll'!$B$9:$FJ$68,{133,144},FALSE)),),IF(BX1+CB1+CD1+CE1+CF1+EN1+IFERROR(SUM(VLOOKUP(B1,'[1]Mar1 Payroll'!$B$9:$EK$68,{133,137,140,141,144,146,147,148},FALSE)),)&lt;90000,0,0)),0)</f>
        <v>0</v>
      </c>
      <c r="ET1" s="83">
        <f>IFERROR(BW1+IFERROR(VLOOKUP(B1,'[1]Mar1 Payroll'!$B$9:$FJ$68,134,FALSE),),0)</f>
        <v>0</v>
      </c>
      <c r="EU1" s="83">
        <f>IFERROR(BU1+IFERROR(VLOOKUP(B1,'[1]Mar1 Payroll'!$B$9:$FJ$68,135,FALSE),),0)</f>
        <v>0</v>
      </c>
      <c r="EV1" s="83">
        <f>IFERROR(BV1+IFERROR(VLOOKUP(B1,'[1]Mar1 Payroll'!$B$9:$FJ$68,136,FALSE),),0)</f>
        <v>0</v>
      </c>
      <c r="EW1" s="83">
        <f t="array" ref="EW1">IFERROR(IF(BX1+CB1+CD1+CE1+CF1+EN1+IFERROR(SUM(VLOOKUP(B1,'[1]Mar1 Payroll'!$B$9:$FJ$68,{133,137,140,141,144,146,147,148},FALSE)),)&gt;90000,BX1+IFERROR(SUM(VLOOKUP(B1,'[1]Mar1 Payroll'!$B$9:$FJ$68,{137,147},FALSE)),),IF(BX1+CB1+CD1+CE1+CF1+EN1+IFERROR(SUM(VLOOKUP(B1,'[1]Mar1 Payroll'!$B$9:$EK$68,{133,137,140,141,144,146,147,148},FALSE)),)&lt;90000,0,0)),0)</f>
        <v>0</v>
      </c>
      <c r="EX1" s="83">
        <f>IFERROR(BY1+IFERROR(VLOOKUP(B1,'[1]Mar1 Payroll'!$B$9:$FJ$68,138,FALSE),),0)</f>
        <v>0</v>
      </c>
      <c r="EY1" s="83">
        <f>IFERROR(BZ1+IFERROR(VLOOKUP(B1,'[1]Mar1 Payroll'!$B$9:$FJ$68,139,FALSE),),0)</f>
        <v>0</v>
      </c>
      <c r="EZ1" s="83">
        <f t="array" ref="EZ1">IFERROR(IF(BX1+CB1+CD1+CE1+CF1+EN1+IFERROR(SUM(VLOOKUP(B1,'[1]Mar1 Payroll'!$B$9:$FJ$68,{133,137,140,141,144,146,147,148},FALSE)),)&gt;90000,CB1+IFERROR(SUM(VLOOKUP(B1,'[1]Mar1 Payroll'!$B$9:$FJ$68,{140,146},FALSE)),),IF(BX1+CB1+CD1+CE1+CF1+EN1+IFERROR(SUM(VLOOKUP(B1,'[1]Mar1 Payroll'!$B$9:$EK$68,{133,137,140,141,144,146,147,148},FALSE)),)&lt;90000,0,0)),0)</f>
        <v>0</v>
      </c>
      <c r="FA1" s="83">
        <f t="array" ref="FA1">IFERROR(IF(BX1+CB1+CD1+CE1+CF1+EN1+IFERROR(SUM(VLOOKUP(B1,'[1]Mar1 Payroll'!$B$9:$FJ$68,{133,137,140,141,144,146,147,148},FALSE)),)&gt;90000,CD1+CE1+CF1+IFERROR(SUM(VLOOKUP(B1,'[1]Mar1 Payroll'!$B$9:$FJ$68,{141,148},FALSE)),),IF(BX1+CB1+CD1+CE1+CF1+EN1+IFERROR(SUM(VLOOKUP(B1,'[1]Mar1 Payroll'!$B$9:$EK$68,{133,137,140,141,144,146,147,148},FALSE)),)&lt;90000,0,0)),0)</f>
        <v>0</v>
      </c>
      <c r="FB1" s="83">
        <f>IF(ES1+EW1+EZ1+FA1&gt;90000,(ES1+EW1+FA1+EZ1)-90000,0)</f>
        <v>0</v>
      </c>
      <c r="FC1" s="83">
        <f>SUM(ET1:FA1)</f>
        <v>0</v>
      </c>
      <c r="FD1" s="83">
        <f t="array" ref="FD1">IFERROR(IF(BX1+CB1+CD1+CE1+CF1+EN1+IFERROR(SUM(VLOOKUP(B1,'[1]Mar1 Payroll'!$B$9:$FJ$68,{133,137,140,141,144,146,147,148},FALSE)),)&gt;90000,0,IF(BX1+CB1+CD1+CE1+CF1+EN1+IFERROR(SUM(VLOOKUP(B1,'[1]Mar1 Payroll'!$B$9:$EK$68,{133,137,140,141,144,146,147,148},FALSE)),)&lt;90000,EN1+IFERROR(SUM(VLOOKUP(B1,'[1]Mar1 Payroll'!$B$9:$FJ$68,{133,144},FALSE)),),)),)</f>
        <v>0</v>
      </c>
      <c r="FE1" s="83">
        <f>IFERROR(CC1+IFERROR(VLOOKUP(B1,'[1]Mar1 Payroll'!$B$9:$FJ$68,145,FALSE),),0)</f>
        <v>0</v>
      </c>
      <c r="FF1" s="83">
        <f t="array" ref="FF1">IFERROR(IF(BX1+CB1+CD1+CE1+CF1+EN1+IFERROR(SUM(VLOOKUP(B1,'[1]Mar1 Payroll'!$B$9:$FJ$68,{133,137,140,141,144,146,147,148},FALSE)),)&gt;90000,0,IF(BX1+CB1+CD1+CE1+CF1+EN1+IFERROR(SUM(VLOOKUP(B1,'[1]Mar1 Payroll'!$B$9:$EK$68,{133,137,140,141,144,146,147,148},FALSE)),)&lt;90000,CB1+IFERROR(SUM(VLOOKUP(B1,'[1]Mar1 Payroll'!$B$9:$FJ$68,{140,146},FALSE)),))),0)</f>
        <v>0</v>
      </c>
      <c r="FG1" s="83">
        <f t="array" ref="FG1">IFERROR(IF(BX1+CB1+CD1+CE1+CF1+EN1+IFERROR(SUM(VLOOKUP(B1,'[1]Mar1 Payroll'!$B$9:$FJ$68,{133,137,140,141,144,146,147,148},FALSE)),)&gt;90000,0,IF(BX1+CB1+CD1+CE1+CF1+EN1+IFERROR(SUM(VLOOKUP(B1,'[1]Mar1 Payroll'!$B$9:$EK$68,{133,137,140,141,144,146,147,148},FALSE)),)&lt;90000,BX1+IFERROR(SUM(VLOOKUP(B1,'[1]Mar1 Payroll'!$B$9:$FJ$68,{137,147},FALSE)),))),0)</f>
        <v>0</v>
      </c>
      <c r="FH1" s="83">
        <f t="array" ref="FH1">IFERROR(IF(BX1+CB1+CD1+CE1+CF1+EN1+IFERROR(SUM(VLOOKUP(B1,'[1]Mar1 Payroll'!$B$9:$FJ$68,{133,137,140,141,144,146,147,148},FALSE)),)&gt;90000,0,IF(BX1+CB1+CD1+CE1+CF1+EN1+IFERROR(SUM(VLOOKUP(B1,'[1]Mar1 Payroll'!$B$9:$EK$68,{133,137,140,141,144,146,147,148},FALSE)),)&lt;90000,CD1+CE1+CF1+IFERROR(SUM(VLOOKUP(B1,'[1]Mar1 Payroll'!$B$9:$FJ$68,{141,148},FALSE)),))),0)</f>
        <v>0</v>
      </c>
      <c r="FI1" s="83">
        <f>SUM(FE1:FH1)</f>
        <v>0</v>
      </c>
      <c r="FJ1" s="83">
        <f>EQ1+ER1+FC1+FI1</f>
        <v>5759</v>
      </c>
      <c r="FK1" s="83">
        <f>IFERROR(EJ1+EK1+EL1+IFERROR(VLOOKUP(B1,'[1]Mar1 Payroll'!$B$9:$FJ$68,151,FALSE),),0)</f>
        <v>0</v>
      </c>
      <c r="FL1" s="83">
        <f>IFERROR(CY1+IFERROR(VLOOKUP(B1,'[1]Mar1 Payroll'!$B$9:$FJ$68,152,FALSE),),0)</f>
        <v>10</v>
      </c>
      <c r="FM1" s="83">
        <f>IFERROR(DA1+DB1+IFERROR(VLOOKUP(B1,'[1]Mar1 Payroll'!$B$9:$FJ$68,153,FALSE),),0)</f>
        <v>460.72</v>
      </c>
      <c r="FN1" s="83">
        <f>IFERROR(DD1+DE1+IFERROR(VLOOKUP(B1,'[1]Mar1 Payroll'!$B$9:$FJ$68,154,FALSE),),0)</f>
        <v>200</v>
      </c>
      <c r="FO1" s="83">
        <f>IFERROR(CO1+IFERROR(VLOOKUP(B1,'[1]Mar1 Payroll'!$B$9:$FJ$68,155,FALSE),),0)</f>
        <v>-5759</v>
      </c>
      <c r="FP1" s="83">
        <f>IFERROR(DZ1+EA1+EF1+IFERROR(VLOOKUP(B1,'[1]Mar1 Payroll'!$B$9:$FJ$68,156,FALSE),),0)</f>
        <v>0</v>
      </c>
      <c r="FQ1" s="83">
        <f>IFERROR(DH1+IFERROR(VLOOKUP(B1,'[1]Mar1 Payroll'!$B$9:$FJ$68,157,FALSE),),0)</f>
        <v>0</v>
      </c>
      <c r="FR1" s="83">
        <f>IFERROR(DI1+IFERROR(VLOOKUP(B1,'[1]Mar1 Payroll'!$B$9:$FJ$68,158,FALSE),),0)</f>
        <v>0</v>
      </c>
      <c r="FS1" s="83">
        <f>IFERROR(DK1+IFERROR(VLOOKUP(B1,'[1]Mar1 Payroll'!$B$9:$FJ$68,159,FALSE),),0)</f>
        <v>0</v>
      </c>
      <c r="FT1" s="83">
        <f>IFERROR(DM1+IFERROR(VLOOKUP(B1,'[1]Mar1 Payroll'!$B$9:$FJ$68,160,FALSE),),0)</f>
        <v>0</v>
      </c>
      <c r="FU1" s="83">
        <f>IFERROR(DN1+IFERROR(VLOOKUP(B1,'[1]Mar1 Payroll'!$B$9:$FJ$68,161,FALSE),),0)</f>
        <v>0</v>
      </c>
      <c r="FV1" s="83">
        <f>IFERROR(DO1+IFERROR(VLOOKUP(B1,'[1]Mar1 Payroll'!$B$9:$FJ$68,162,FALSE),),0)</f>
        <v>0</v>
      </c>
      <c r="FW1" s="83">
        <f>IFERROR(DP1+IFERROR(VLOOKUP(B1,'[1]Mar1 Payroll'!$B$9:$FJ$68,163,FALSE),),0)</f>
        <v>0</v>
      </c>
      <c r="FX1" s="83">
        <f>SUM(FK1:FS1)</f>
        <v>-5088.28</v>
      </c>
      <c r="FY1" s="84">
        <f>FJ1+FX1</f>
        <v>670.72000000000025</v>
      </c>
      <c r="FZ1" s="85"/>
      <c r="GA1" s="105"/>
      <c r="GB1" s="86">
        <f>EQ1</f>
        <v>5759</v>
      </c>
      <c r="GC1" s="83">
        <f>ER1</f>
        <v>0</v>
      </c>
      <c r="GD1" s="83">
        <f>IFERROR(IF(GO1+GQ1+GR1+GS1=90000,ES1-GO1,),)</f>
        <v>0</v>
      </c>
      <c r="GE1" s="83">
        <f>ET1</f>
        <v>0</v>
      </c>
      <c r="GF1" s="83">
        <f>EU1</f>
        <v>0</v>
      </c>
      <c r="GG1" s="83">
        <f>EV1</f>
        <v>0</v>
      </c>
      <c r="GH1" s="83">
        <f>IFERROR(IF(GO1+GQ1+GR1+GS1=90000,EW1-GR1,),)</f>
        <v>0</v>
      </c>
      <c r="GI1" s="83">
        <f>EX1</f>
        <v>0</v>
      </c>
      <c r="GJ1" s="83">
        <f>EY1</f>
        <v>0</v>
      </c>
      <c r="GK1" s="83">
        <f>IFERROR(IF(GO1+GQ1+GR1+GS1=90000,EZ1-GQ1,),)</f>
        <v>0</v>
      </c>
      <c r="GL1" s="83">
        <f>IFERROR(IF(GO1+GQ1+GR1+GS1=90000,FA1-GS1,),)</f>
        <v>0</v>
      </c>
      <c r="GM1" s="83">
        <f>GD1+GH1+GK1+GL1</f>
        <v>0</v>
      </c>
      <c r="GN1" s="83">
        <f>SUM(GE1:GL1)</f>
        <v>0</v>
      </c>
      <c r="GO1" s="83">
        <f>IFERROR(FD1+IFERROR((ES1*(90000/(ES1+EW1+EZ1+FA1))),),)</f>
        <v>0</v>
      </c>
      <c r="GP1" s="83">
        <f>FE1</f>
        <v>0</v>
      </c>
      <c r="GQ1" s="83">
        <f>IFERROR(FF1+IFERROR((EZ1*(90000/(ES1+EW1+EZ1+FA1))),),)</f>
        <v>0</v>
      </c>
      <c r="GR1" s="83">
        <f>IFERROR(FG1+IFERROR((EW1*(90000/(ES1+EW1+EZ1+FA1))),),)</f>
        <v>0</v>
      </c>
      <c r="GS1" s="83">
        <f>IFERROR(FH1+IFERROR((FA1*(90000/ES1+EW1+EZ1+FA1)),),)</f>
        <v>0</v>
      </c>
      <c r="GT1" s="83">
        <f>SUM(GP1:GS1)</f>
        <v>0</v>
      </c>
      <c r="GU1" s="83">
        <f>GB1+GC1+GN1+GT1</f>
        <v>5759</v>
      </c>
      <c r="GV1" s="83">
        <f t="shared" ref="GV1:HH1" si="0">FK1</f>
        <v>0</v>
      </c>
      <c r="GW1" s="83">
        <f t="shared" si="0"/>
        <v>10</v>
      </c>
      <c r="GX1" s="83">
        <f t="shared" si="0"/>
        <v>460.72</v>
      </c>
      <c r="GY1" s="83">
        <f t="shared" si="0"/>
        <v>200</v>
      </c>
      <c r="GZ1" s="83">
        <f t="shared" si="0"/>
        <v>-5759</v>
      </c>
      <c r="HA1" s="83">
        <f t="shared" si="0"/>
        <v>0</v>
      </c>
      <c r="HB1" s="83">
        <f t="shared" si="0"/>
        <v>0</v>
      </c>
      <c r="HC1" s="83">
        <f t="shared" si="0"/>
        <v>0</v>
      </c>
      <c r="HD1" s="83">
        <f t="shared" si="0"/>
        <v>0</v>
      </c>
      <c r="HE1" s="83">
        <f t="shared" si="0"/>
        <v>0</v>
      </c>
      <c r="HF1" s="83">
        <f t="shared" si="0"/>
        <v>0</v>
      </c>
      <c r="HG1" s="83">
        <f t="shared" si="0"/>
        <v>0</v>
      </c>
      <c r="HH1" s="83">
        <f t="shared" si="0"/>
        <v>0</v>
      </c>
      <c r="HI1" s="83">
        <f>SUM(GV1:HH1)</f>
        <v>-5088.28</v>
      </c>
      <c r="HJ1" s="87">
        <f>GU1+HI1</f>
        <v>670.72000000000025</v>
      </c>
      <c r="HK1" s="105" t="s">
        <v>172</v>
      </c>
      <c r="HL1" s="88">
        <f>+CP1-DG1-DR1-DS1-DT1-DU1-DV1-DW1-DX1-DZ1-EA1-EB1-EC1-ED1</f>
        <v>0</v>
      </c>
      <c r="HM1" s="88">
        <f>+EM1-HL1</f>
        <v>0</v>
      </c>
      <c r="HN1" s="88"/>
      <c r="HO1" s="89">
        <v>7</v>
      </c>
      <c r="HP1" s="91">
        <f>J1*L1+CO1</f>
        <v>0</v>
      </c>
      <c r="HQ1" s="91">
        <f>+K1*L1+Q1+Y1+AA1+AQ1+AS1+BC1+BE1+BV1+CJ1-DH1-DJ1-DZ1</f>
        <v>0</v>
      </c>
      <c r="HR1" s="91">
        <f>+EM1-HQ1</f>
        <v>0</v>
      </c>
      <c r="HS1" s="91"/>
      <c r="HT1" s="91"/>
      <c r="HU1" s="91"/>
      <c r="HV1" s="91"/>
      <c r="HW1" s="91"/>
      <c r="HX1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Payroll Sample</vt:lpstr>
      <vt:lpstr>All</vt:lpstr>
      <vt:lpstr>Journal</vt:lpstr>
      <vt:lpstr>RESIGNED</vt:lpstr>
      <vt:lpstr>All!Print_Area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PSA</cp:lastModifiedBy>
  <cp:lastPrinted>2023-03-29T08:49:53Z</cp:lastPrinted>
  <dcterms:created xsi:type="dcterms:W3CDTF">2021-03-25T18:59:03Z</dcterms:created>
  <dcterms:modified xsi:type="dcterms:W3CDTF">2023-03-31T00:14:35Z</dcterms:modified>
</cp:coreProperties>
</file>