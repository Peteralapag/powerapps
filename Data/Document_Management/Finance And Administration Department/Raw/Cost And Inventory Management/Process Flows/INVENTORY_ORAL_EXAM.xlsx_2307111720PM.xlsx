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76" i="1" l="1"/>
  <c r="E76" i="1" s="1"/>
  <c r="G76" i="1" s="1"/>
  <c r="I76" i="1" s="1"/>
  <c r="B73" i="1"/>
  <c r="E73" i="1" s="1"/>
  <c r="G73" i="1" s="1"/>
  <c r="I73" i="1" s="1"/>
  <c r="B70" i="1"/>
  <c r="E70" i="1" s="1"/>
  <c r="G70" i="1" s="1"/>
  <c r="I70" i="1" s="1"/>
  <c r="B63" i="1"/>
  <c r="E63" i="1" s="1"/>
  <c r="G63" i="1" s="1"/>
  <c r="I63" i="1" s="1"/>
  <c r="B60" i="1"/>
  <c r="E60" i="1" s="1"/>
  <c r="G60" i="1" s="1"/>
  <c r="I60" i="1" s="1"/>
  <c r="B57" i="1"/>
  <c r="E57" i="1" s="1"/>
  <c r="G57" i="1" s="1"/>
  <c r="I57" i="1" s="1"/>
  <c r="E54" i="1"/>
  <c r="G54" i="1" s="1"/>
  <c r="I54" i="1" s="1"/>
  <c r="E26" i="1"/>
  <c r="G26" i="1" s="1"/>
  <c r="I26" i="1" s="1"/>
</calcChain>
</file>

<file path=xl/sharedStrings.xml><?xml version="1.0" encoding="utf-8"?>
<sst xmlns="http://schemas.openxmlformats.org/spreadsheetml/2006/main" count="107" uniqueCount="40">
  <si>
    <t>INVENTORY EXAM</t>
  </si>
  <si>
    <t>SITUATIONAL ORAL ANALYSIS</t>
  </si>
  <si>
    <t>1. What have you observe in the branch operation process?</t>
  </si>
  <si>
    <t>2.What are the practices in the selling area? Do you think it will help them improve their operation?</t>
  </si>
  <si>
    <t>3. How did they conduct physical count inventory?</t>
  </si>
  <si>
    <t>4. Whats the difference between manual inventory versus store apps?</t>
  </si>
  <si>
    <t>5. What have you learned during the branch exposure?</t>
  </si>
  <si>
    <t>RED FLAGS OF INVENTORY</t>
  </si>
  <si>
    <t>SAMPLE SCENARIO 1</t>
  </si>
  <si>
    <t>BREADS</t>
  </si>
  <si>
    <t>BEG. INVENTORY</t>
  </si>
  <si>
    <t>PROD. IN</t>
  </si>
  <si>
    <t>BO</t>
  </si>
  <si>
    <t>TOTAL</t>
  </si>
  <si>
    <t>PHYSICAL COUNT</t>
  </si>
  <si>
    <t>SOLD-OUT</t>
  </si>
  <si>
    <t>SRP</t>
  </si>
  <si>
    <t>AMOUNT</t>
  </si>
  <si>
    <t>STAR BREAD</t>
  </si>
  <si>
    <t>BEGINNING INVENTORY IS TO MANY IN TERMS OF QUANTITY</t>
  </si>
  <si>
    <t>NOW WE ASSUME THAT OUT 200 PCS PRODUCTION, ONLY 15 PCS ARE BEING SOLD.</t>
  </si>
  <si>
    <t>TOTAL PRODUCTION OF BAKER IS ALMOST THE SAME QUANTITY WITH THE BEG. INVENTORY</t>
  </si>
  <si>
    <t>SOLD-OUT ITEM IS MUCH LESSER THAN THE ACTUAL QUANTITY COUNT.</t>
  </si>
  <si>
    <t>NO DECLARATION OF BO. BEG. INVENTORY MUST BE PART OF BO TO BE PULL-OUT</t>
  </si>
  <si>
    <t>ANOTHER ANALYSIS IS THEY SELL BO BREADS WHICH IS NOT OPERATING STANDARD</t>
  </si>
  <si>
    <t>SAMPLE SCENARIO 2</t>
  </si>
  <si>
    <t>DAY 1</t>
  </si>
  <si>
    <t>ICE CREAM</t>
  </si>
  <si>
    <t>DELIVERY IN</t>
  </si>
  <si>
    <t>ICE CREAM 1.3</t>
  </si>
  <si>
    <t>DAY 2</t>
  </si>
  <si>
    <t>DAY 3</t>
  </si>
  <si>
    <t>DAY 4</t>
  </si>
  <si>
    <t>TRENDING PATTERN</t>
  </si>
  <si>
    <t>WHEN PHYSICAL COUNT IS APPROACHING</t>
  </si>
  <si>
    <t>DAY 5</t>
  </si>
  <si>
    <t>DAY 6</t>
  </si>
  <si>
    <t>DAY 7</t>
  </si>
  <si>
    <t>ANALYSIS</t>
  </si>
  <si>
    <t>THE HISTORY OF SOLD-OUT/TRENDING IS ERATIC. IF THE CASE IS LIKE THIS. THERE IS SOMETHING HAPPENING IN THE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</si>
</sst>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0" xfId="0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/>
    <xf numFmtId="0" fontId="2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/>
    <xf numFmtId="0" fontId="1" fillId="2" borderId="3" xfId="0" applyFont="1" applyFill="1" applyBorder="1"/>
    <xf numFmtId="0" fontId="2" fillId="2" borderId="4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4" fillId="2" borderId="12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center" wrapText="1"/>
    </xf>
    <xf numFmtId="0" fontId="4" fillId="2" borderId="14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3" fillId="2" borderId="17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wrapText="1"/>
    </xf>
    <xf numFmtId="0" fontId="5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26</xdr:row>
      <xdr:rowOff>19050</xdr:rowOff>
    </xdr:from>
    <xdr:to>
      <xdr:col>1</xdr:col>
      <xdr:colOff>161925</xdr:colOff>
      <xdr:row>28</xdr:row>
      <xdr:rowOff>19050</xdr:rowOff>
    </xdr:to>
    <xdr:cxnSp macro="">
      <xdr:nvCxnSpPr>
        <xdr:cNvPr id="2" name="Straight Arrow Connector 1"/>
        <xdr:cNvCxnSpPr/>
      </xdr:nvCxnSpPr>
      <xdr:spPr>
        <a:xfrm>
          <a:off x="1104900" y="6534150"/>
          <a:ext cx="9525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26</xdr:row>
      <xdr:rowOff>28575</xdr:rowOff>
    </xdr:from>
    <xdr:to>
      <xdr:col>2</xdr:col>
      <xdr:colOff>361950</xdr:colOff>
      <xdr:row>33</xdr:row>
      <xdr:rowOff>142875</xdr:rowOff>
    </xdr:to>
    <xdr:cxnSp macro="">
      <xdr:nvCxnSpPr>
        <xdr:cNvPr id="3" name="Straight Arrow Connector 2"/>
        <xdr:cNvCxnSpPr/>
      </xdr:nvCxnSpPr>
      <xdr:spPr>
        <a:xfrm>
          <a:off x="2314575" y="6543675"/>
          <a:ext cx="19050" cy="1543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26</xdr:row>
      <xdr:rowOff>19050</xdr:rowOff>
    </xdr:from>
    <xdr:to>
      <xdr:col>3</xdr:col>
      <xdr:colOff>276225</xdr:colOff>
      <xdr:row>40</xdr:row>
      <xdr:rowOff>95250</xdr:rowOff>
    </xdr:to>
    <xdr:cxnSp macro="">
      <xdr:nvCxnSpPr>
        <xdr:cNvPr id="4" name="Straight Arrow Connector 3"/>
        <xdr:cNvCxnSpPr/>
      </xdr:nvCxnSpPr>
      <xdr:spPr>
        <a:xfrm>
          <a:off x="2800350" y="6534150"/>
          <a:ext cx="38100" cy="28670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438150</xdr:colOff>
      <xdr:row>26</xdr:row>
      <xdr:rowOff>28575</xdr:rowOff>
    </xdr:from>
    <xdr:to>
      <xdr:col>5</xdr:col>
      <xdr:colOff>447675</xdr:colOff>
      <xdr:row>28</xdr:row>
      <xdr:rowOff>28575</xdr:rowOff>
    </xdr:to>
    <xdr:cxnSp macro="">
      <xdr:nvCxnSpPr>
        <xdr:cNvPr id="5" name="Straight Arrow Connector 4"/>
        <xdr:cNvCxnSpPr/>
      </xdr:nvCxnSpPr>
      <xdr:spPr>
        <a:xfrm>
          <a:off x="3667125" y="6543675"/>
          <a:ext cx="9525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409575</xdr:colOff>
      <xdr:row>26</xdr:row>
      <xdr:rowOff>38100</xdr:rowOff>
    </xdr:from>
    <xdr:to>
      <xdr:col>6</xdr:col>
      <xdr:colOff>438150</xdr:colOff>
      <xdr:row>33</xdr:row>
      <xdr:rowOff>161925</xdr:rowOff>
    </xdr:to>
    <xdr:cxnSp macro="">
      <xdr:nvCxnSpPr>
        <xdr:cNvPr id="6" name="Straight Arrow Connector 5"/>
        <xdr:cNvCxnSpPr/>
      </xdr:nvCxnSpPr>
      <xdr:spPr>
        <a:xfrm>
          <a:off x="4391025" y="6553200"/>
          <a:ext cx="28575" cy="1552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63</xdr:row>
      <xdr:rowOff>19050</xdr:rowOff>
    </xdr:from>
    <xdr:to>
      <xdr:col>4</xdr:col>
      <xdr:colOff>66675</xdr:colOff>
      <xdr:row>64</xdr:row>
      <xdr:rowOff>142875</xdr:rowOff>
    </xdr:to>
    <xdr:cxnSp macro="">
      <xdr:nvCxnSpPr>
        <xdr:cNvPr id="7" name="Straight Arrow Connector 6"/>
        <xdr:cNvCxnSpPr/>
      </xdr:nvCxnSpPr>
      <xdr:spPr>
        <a:xfrm>
          <a:off x="2962275" y="13849350"/>
          <a:ext cx="0" cy="3143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workbookViewId="0">
      <selection activeCell="K13" sqref="K13"/>
    </sheetView>
  </sheetViews>
  <sheetFormatPr defaultRowHeight="15" x14ac:dyDescent="0.25"/>
  <cols>
    <col min="1" max="1" width="14.28515625" style="4" customWidth="1"/>
    <col min="2" max="2" width="15.28515625" style="4" customWidth="1"/>
    <col min="3" max="3" width="8.85546875" style="4" customWidth="1"/>
    <col min="4" max="5" width="5" style="4" customWidth="1"/>
    <col min="6" max="6" width="11.28515625" style="4" customWidth="1"/>
    <col min="7" max="7" width="8.5703125" style="4" customWidth="1"/>
    <col min="8" max="16384" width="9.140625" style="4"/>
  </cols>
  <sheetData>
    <row r="1" spans="1:7" ht="15.75" thickBot="1" x14ac:dyDescent="0.3">
      <c r="A1" s="1" t="s">
        <v>0</v>
      </c>
      <c r="B1" s="2"/>
      <c r="C1" s="2"/>
      <c r="D1" s="2"/>
      <c r="E1" s="2"/>
      <c r="F1" s="2"/>
      <c r="G1" s="3"/>
    </row>
    <row r="2" spans="1:7" x14ac:dyDescent="0.25">
      <c r="A2" s="5"/>
      <c r="B2" s="5"/>
      <c r="C2" s="5"/>
      <c r="D2" s="5"/>
      <c r="E2" s="5"/>
      <c r="F2" s="5"/>
      <c r="G2" s="5"/>
    </row>
    <row r="3" spans="1:7" x14ac:dyDescent="0.25">
      <c r="A3" s="6" t="s">
        <v>1</v>
      </c>
      <c r="B3" s="6"/>
      <c r="C3" s="6"/>
      <c r="D3" s="5"/>
      <c r="E3" s="5"/>
      <c r="F3" s="5"/>
      <c r="G3" s="5"/>
    </row>
    <row r="5" spans="1:7" x14ac:dyDescent="0.25">
      <c r="A5" s="4" t="s">
        <v>2</v>
      </c>
    </row>
    <row r="8" spans="1:7" x14ac:dyDescent="0.25">
      <c r="A8" s="4" t="s">
        <v>3</v>
      </c>
    </row>
    <row r="11" spans="1:7" x14ac:dyDescent="0.25">
      <c r="A11" s="4" t="s">
        <v>4</v>
      </c>
    </row>
    <row r="14" spans="1:7" x14ac:dyDescent="0.25">
      <c r="A14" s="4" t="s">
        <v>5</v>
      </c>
    </row>
    <row r="17" spans="1:9" x14ac:dyDescent="0.25">
      <c r="A17" s="4" t="s">
        <v>6</v>
      </c>
    </row>
    <row r="21" spans="1:9" x14ac:dyDescent="0.25">
      <c r="A21" s="7" t="s">
        <v>7</v>
      </c>
    </row>
    <row r="23" spans="1:9" x14ac:dyDescent="0.25">
      <c r="A23" s="7" t="s">
        <v>8</v>
      </c>
    </row>
    <row r="24" spans="1:9" ht="15.75" thickBot="1" x14ac:dyDescent="0.3"/>
    <row r="25" spans="1:9" ht="15.75" thickBot="1" x14ac:dyDescent="0.3">
      <c r="A25" s="8" t="s">
        <v>9</v>
      </c>
      <c r="B25" s="8" t="s">
        <v>10</v>
      </c>
      <c r="C25" s="8" t="s">
        <v>11</v>
      </c>
      <c r="D25" s="8" t="s">
        <v>12</v>
      </c>
      <c r="E25" s="8" t="s">
        <v>13</v>
      </c>
      <c r="F25" s="8" t="s">
        <v>14</v>
      </c>
      <c r="G25" s="8" t="s">
        <v>15</v>
      </c>
      <c r="H25" s="8" t="s">
        <v>16</v>
      </c>
      <c r="I25" s="8" t="s">
        <v>17</v>
      </c>
    </row>
    <row r="26" spans="1:9" ht="15.75" thickBot="1" x14ac:dyDescent="0.3">
      <c r="A26" s="9" t="s">
        <v>18</v>
      </c>
      <c r="B26" s="10">
        <v>150</v>
      </c>
      <c r="C26" s="11">
        <v>200</v>
      </c>
      <c r="D26" s="12">
        <v>0</v>
      </c>
      <c r="E26" s="12">
        <f>B26+C26-D26</f>
        <v>350</v>
      </c>
      <c r="F26" s="12">
        <v>185</v>
      </c>
      <c r="G26" s="12">
        <f>E26-F26</f>
        <v>165</v>
      </c>
      <c r="H26" s="12">
        <v>5</v>
      </c>
      <c r="I26" s="13">
        <f>G26*H26</f>
        <v>825</v>
      </c>
    </row>
    <row r="28" spans="1:9" ht="15.75" thickBot="1" x14ac:dyDescent="0.3"/>
    <row r="29" spans="1:9" x14ac:dyDescent="0.25">
      <c r="B29" s="14" t="s">
        <v>19</v>
      </c>
      <c r="E29" s="15" t="s">
        <v>20</v>
      </c>
      <c r="F29" s="16"/>
    </row>
    <row r="30" spans="1:9" x14ac:dyDescent="0.25">
      <c r="B30" s="17"/>
      <c r="E30" s="18"/>
      <c r="F30" s="19"/>
    </row>
    <row r="31" spans="1:9" x14ac:dyDescent="0.25">
      <c r="B31" s="17"/>
      <c r="E31" s="18"/>
      <c r="F31" s="19"/>
    </row>
    <row r="32" spans="1:9" ht="21" customHeight="1" thickBot="1" x14ac:dyDescent="0.3">
      <c r="B32" s="17"/>
      <c r="E32" s="20"/>
      <c r="F32" s="21"/>
    </row>
    <row r="33" spans="2:7" ht="15.75" thickBot="1" x14ac:dyDescent="0.3">
      <c r="B33" s="22"/>
    </row>
    <row r="34" spans="2:7" ht="15.75" thickBot="1" x14ac:dyDescent="0.3"/>
    <row r="35" spans="2:7" ht="15" customHeight="1" x14ac:dyDescent="0.25">
      <c r="B35" s="23" t="s">
        <v>21</v>
      </c>
      <c r="C35" s="24"/>
      <c r="F35" s="25" t="s">
        <v>22</v>
      </c>
      <c r="G35" s="26"/>
    </row>
    <row r="36" spans="2:7" x14ac:dyDescent="0.25">
      <c r="B36" s="27"/>
      <c r="C36" s="28"/>
      <c r="F36" s="29"/>
      <c r="G36" s="30"/>
    </row>
    <row r="37" spans="2:7" ht="15.75" thickBot="1" x14ac:dyDescent="0.3">
      <c r="B37" s="27"/>
      <c r="C37" s="28"/>
      <c r="F37" s="31"/>
      <c r="G37" s="32"/>
    </row>
    <row r="38" spans="2:7" x14ac:dyDescent="0.25">
      <c r="B38" s="27"/>
      <c r="C38" s="28"/>
    </row>
    <row r="39" spans="2:7" ht="15.75" thickBot="1" x14ac:dyDescent="0.3">
      <c r="B39" s="33"/>
      <c r="C39" s="34"/>
    </row>
    <row r="41" spans="2:7" ht="15.75" thickBot="1" x14ac:dyDescent="0.3"/>
    <row r="42" spans="2:7" x14ac:dyDescent="0.25">
      <c r="B42" s="15" t="s">
        <v>23</v>
      </c>
      <c r="C42" s="35"/>
      <c r="D42" s="16"/>
    </row>
    <row r="43" spans="2:7" x14ac:dyDescent="0.25">
      <c r="B43" s="18"/>
      <c r="C43" s="36"/>
      <c r="D43" s="19"/>
    </row>
    <row r="44" spans="2:7" x14ac:dyDescent="0.25">
      <c r="B44" s="18"/>
      <c r="C44" s="36"/>
      <c r="D44" s="19"/>
    </row>
    <row r="45" spans="2:7" ht="15.75" thickBot="1" x14ac:dyDescent="0.3">
      <c r="B45" s="20"/>
      <c r="C45" s="37"/>
      <c r="D45" s="21"/>
    </row>
    <row r="46" spans="2:7" x14ac:dyDescent="0.25">
      <c r="B46" s="15" t="s">
        <v>24</v>
      </c>
      <c r="C46" s="35"/>
      <c r="D46" s="16"/>
    </row>
    <row r="47" spans="2:7" x14ac:dyDescent="0.25">
      <c r="B47" s="18"/>
      <c r="C47" s="36"/>
      <c r="D47" s="19"/>
    </row>
    <row r="48" spans="2:7" ht="15.75" thickBot="1" x14ac:dyDescent="0.3">
      <c r="B48" s="20"/>
      <c r="C48" s="37"/>
      <c r="D48" s="21"/>
    </row>
    <row r="51" spans="1:9" x14ac:dyDescent="0.25">
      <c r="A51" s="7" t="s">
        <v>25</v>
      </c>
    </row>
    <row r="52" spans="1:9" ht="15.75" thickBot="1" x14ac:dyDescent="0.3">
      <c r="A52" s="38" t="s">
        <v>26</v>
      </c>
    </row>
    <row r="53" spans="1:9" ht="15.75" thickBot="1" x14ac:dyDescent="0.3">
      <c r="A53" s="8" t="s">
        <v>27</v>
      </c>
      <c r="B53" s="8" t="s">
        <v>10</v>
      </c>
      <c r="C53" s="8" t="s">
        <v>28</v>
      </c>
      <c r="D53" s="8" t="s">
        <v>12</v>
      </c>
      <c r="E53" s="8" t="s">
        <v>13</v>
      </c>
      <c r="F53" s="8" t="s">
        <v>14</v>
      </c>
      <c r="G53" s="8" t="s">
        <v>15</v>
      </c>
      <c r="H53" s="8" t="s">
        <v>16</v>
      </c>
      <c r="I53" s="8" t="s">
        <v>17</v>
      </c>
    </row>
    <row r="54" spans="1:9" ht="15.75" thickBot="1" x14ac:dyDescent="0.3">
      <c r="A54" s="9" t="s">
        <v>29</v>
      </c>
      <c r="B54" s="10">
        <v>15</v>
      </c>
      <c r="C54" s="11">
        <v>20</v>
      </c>
      <c r="D54" s="12">
        <v>0</v>
      </c>
      <c r="E54" s="12">
        <f>B54+C54-D54</f>
        <v>35</v>
      </c>
      <c r="F54" s="12">
        <v>35</v>
      </c>
      <c r="G54" s="12">
        <f>E54-F54</f>
        <v>0</v>
      </c>
      <c r="H54" s="12">
        <v>275</v>
      </c>
      <c r="I54" s="13">
        <f>G54*H54</f>
        <v>0</v>
      </c>
    </row>
    <row r="55" spans="1:9" ht="15.75" thickBot="1" x14ac:dyDescent="0.3">
      <c r="A55" s="38" t="s">
        <v>30</v>
      </c>
    </row>
    <row r="56" spans="1:9" ht="15.75" thickBot="1" x14ac:dyDescent="0.3">
      <c r="A56" s="8" t="s">
        <v>27</v>
      </c>
      <c r="B56" s="8" t="s">
        <v>10</v>
      </c>
      <c r="C56" s="8" t="s">
        <v>28</v>
      </c>
      <c r="D56" s="8" t="s">
        <v>12</v>
      </c>
      <c r="E56" s="8" t="s">
        <v>13</v>
      </c>
      <c r="F56" s="8" t="s">
        <v>14</v>
      </c>
      <c r="G56" s="8" t="s">
        <v>15</v>
      </c>
      <c r="H56" s="8" t="s">
        <v>16</v>
      </c>
      <c r="I56" s="8" t="s">
        <v>17</v>
      </c>
    </row>
    <row r="57" spans="1:9" ht="15.75" thickBot="1" x14ac:dyDescent="0.3">
      <c r="A57" s="9" t="s">
        <v>29</v>
      </c>
      <c r="B57" s="10">
        <f>F54</f>
        <v>35</v>
      </c>
      <c r="C57" s="11">
        <v>0</v>
      </c>
      <c r="D57" s="12">
        <v>0</v>
      </c>
      <c r="E57" s="12">
        <f>B57+C57-D57</f>
        <v>35</v>
      </c>
      <c r="F57" s="12">
        <v>35</v>
      </c>
      <c r="G57" s="12">
        <f>E57-F57</f>
        <v>0</v>
      </c>
      <c r="H57" s="12">
        <v>275</v>
      </c>
      <c r="I57" s="13">
        <f>G57*H57</f>
        <v>0</v>
      </c>
    </row>
    <row r="58" spans="1:9" ht="15.75" thickBot="1" x14ac:dyDescent="0.3">
      <c r="A58" s="38" t="s">
        <v>31</v>
      </c>
    </row>
    <row r="59" spans="1:9" ht="15.75" thickBot="1" x14ac:dyDescent="0.3">
      <c r="A59" s="8" t="s">
        <v>27</v>
      </c>
      <c r="B59" s="8" t="s">
        <v>10</v>
      </c>
      <c r="C59" s="8" t="s">
        <v>28</v>
      </c>
      <c r="D59" s="8" t="s">
        <v>12</v>
      </c>
      <c r="E59" s="8" t="s">
        <v>13</v>
      </c>
      <c r="F59" s="8" t="s">
        <v>14</v>
      </c>
      <c r="G59" s="8" t="s">
        <v>15</v>
      </c>
      <c r="H59" s="8" t="s">
        <v>16</v>
      </c>
      <c r="I59" s="8" t="s">
        <v>17</v>
      </c>
    </row>
    <row r="60" spans="1:9" ht="15.75" thickBot="1" x14ac:dyDescent="0.3">
      <c r="A60" s="9" t="s">
        <v>29</v>
      </c>
      <c r="B60" s="10">
        <f>F57</f>
        <v>35</v>
      </c>
      <c r="C60" s="11">
        <v>0</v>
      </c>
      <c r="D60" s="12">
        <v>0</v>
      </c>
      <c r="E60" s="12">
        <f>B60+C60-D60</f>
        <v>35</v>
      </c>
      <c r="F60" s="12">
        <v>34</v>
      </c>
      <c r="G60" s="12">
        <f>E60-F60</f>
        <v>1</v>
      </c>
      <c r="H60" s="12">
        <v>275</v>
      </c>
      <c r="I60" s="13">
        <f>G60*H60</f>
        <v>275</v>
      </c>
    </row>
    <row r="61" spans="1:9" ht="15.75" thickBot="1" x14ac:dyDescent="0.3">
      <c r="A61" s="38" t="s">
        <v>32</v>
      </c>
    </row>
    <row r="62" spans="1:9" ht="15.75" thickBot="1" x14ac:dyDescent="0.3">
      <c r="A62" s="8" t="s">
        <v>27</v>
      </c>
      <c r="B62" s="8" t="s">
        <v>10</v>
      </c>
      <c r="C62" s="8" t="s">
        <v>28</v>
      </c>
      <c r="D62" s="8" t="s">
        <v>12</v>
      </c>
      <c r="E62" s="8" t="s">
        <v>13</v>
      </c>
      <c r="F62" s="8" t="s">
        <v>14</v>
      </c>
      <c r="G62" s="8" t="s">
        <v>15</v>
      </c>
      <c r="H62" s="8" t="s">
        <v>16</v>
      </c>
      <c r="I62" s="8" t="s">
        <v>17</v>
      </c>
    </row>
    <row r="63" spans="1:9" ht="15.75" thickBot="1" x14ac:dyDescent="0.3">
      <c r="A63" s="9" t="s">
        <v>29</v>
      </c>
      <c r="B63" s="10">
        <f>F60</f>
        <v>34</v>
      </c>
      <c r="C63" s="11">
        <v>15</v>
      </c>
      <c r="D63" s="12">
        <v>0</v>
      </c>
      <c r="E63" s="12">
        <f>B63+C63-D63</f>
        <v>49</v>
      </c>
      <c r="F63" s="12">
        <v>47</v>
      </c>
      <c r="G63" s="12">
        <f>E63-F63</f>
        <v>2</v>
      </c>
      <c r="H63" s="12">
        <v>275</v>
      </c>
      <c r="I63" s="13">
        <f>G63*H63</f>
        <v>550</v>
      </c>
    </row>
    <row r="65" spans="1:9" ht="15.75" thickBot="1" x14ac:dyDescent="0.3"/>
    <row r="66" spans="1:9" ht="15.75" thickBot="1" x14ac:dyDescent="0.3">
      <c r="D66" s="39" t="s">
        <v>33</v>
      </c>
      <c r="E66" s="40"/>
      <c r="F66" s="41"/>
    </row>
    <row r="67" spans="1:9" x14ac:dyDescent="0.25">
      <c r="A67" s="7" t="s">
        <v>34</v>
      </c>
    </row>
    <row r="68" spans="1:9" ht="15.75" thickBot="1" x14ac:dyDescent="0.3">
      <c r="A68" s="38" t="s">
        <v>35</v>
      </c>
    </row>
    <row r="69" spans="1:9" ht="15.75" thickBot="1" x14ac:dyDescent="0.3">
      <c r="A69" s="8" t="s">
        <v>27</v>
      </c>
      <c r="B69" s="8" t="s">
        <v>10</v>
      </c>
      <c r="C69" s="8" t="s">
        <v>28</v>
      </c>
      <c r="D69" s="8" t="s">
        <v>12</v>
      </c>
      <c r="E69" s="8" t="s">
        <v>13</v>
      </c>
      <c r="F69" s="8" t="s">
        <v>14</v>
      </c>
      <c r="G69" s="8" t="s">
        <v>15</v>
      </c>
      <c r="H69" s="8" t="s">
        <v>16</v>
      </c>
      <c r="I69" s="8" t="s">
        <v>17</v>
      </c>
    </row>
    <row r="70" spans="1:9" ht="15.75" thickBot="1" x14ac:dyDescent="0.3">
      <c r="A70" s="9" t="s">
        <v>29</v>
      </c>
      <c r="B70" s="10">
        <f>F63</f>
        <v>47</v>
      </c>
      <c r="C70" s="11">
        <v>0</v>
      </c>
      <c r="D70" s="12">
        <v>0</v>
      </c>
      <c r="E70" s="12">
        <f>B70+C70-D70</f>
        <v>47</v>
      </c>
      <c r="F70" s="12">
        <v>40</v>
      </c>
      <c r="G70" s="12">
        <f>E70-F70</f>
        <v>7</v>
      </c>
      <c r="H70" s="12">
        <v>275</v>
      </c>
      <c r="I70" s="13">
        <f>G70*H70</f>
        <v>1925</v>
      </c>
    </row>
    <row r="71" spans="1:9" ht="15.75" thickBot="1" x14ac:dyDescent="0.3">
      <c r="A71" s="38" t="s">
        <v>36</v>
      </c>
    </row>
    <row r="72" spans="1:9" ht="15.75" thickBot="1" x14ac:dyDescent="0.3">
      <c r="A72" s="8" t="s">
        <v>27</v>
      </c>
      <c r="B72" s="8" t="s">
        <v>10</v>
      </c>
      <c r="C72" s="8" t="s">
        <v>28</v>
      </c>
      <c r="D72" s="8" t="s">
        <v>12</v>
      </c>
      <c r="E72" s="8" t="s">
        <v>13</v>
      </c>
      <c r="F72" s="8" t="s">
        <v>14</v>
      </c>
      <c r="G72" s="8" t="s">
        <v>15</v>
      </c>
      <c r="H72" s="8" t="s">
        <v>16</v>
      </c>
      <c r="I72" s="8" t="s">
        <v>17</v>
      </c>
    </row>
    <row r="73" spans="1:9" ht="15.75" thickBot="1" x14ac:dyDescent="0.3">
      <c r="A73" s="9" t="s">
        <v>29</v>
      </c>
      <c r="B73" s="10">
        <f>F70</f>
        <v>40</v>
      </c>
      <c r="C73" s="11">
        <v>0</v>
      </c>
      <c r="D73" s="12">
        <v>0</v>
      </c>
      <c r="E73" s="12">
        <f>B73+C73-D73</f>
        <v>40</v>
      </c>
      <c r="F73" s="12">
        <v>33</v>
      </c>
      <c r="G73" s="12">
        <f>E73-F73</f>
        <v>7</v>
      </c>
      <c r="H73" s="12">
        <v>275</v>
      </c>
      <c r="I73" s="13">
        <f>G73*H73</f>
        <v>1925</v>
      </c>
    </row>
    <row r="74" spans="1:9" ht="15.75" thickBot="1" x14ac:dyDescent="0.3">
      <c r="A74" s="38" t="s">
        <v>37</v>
      </c>
    </row>
    <row r="75" spans="1:9" ht="15.75" thickBot="1" x14ac:dyDescent="0.3">
      <c r="A75" s="8" t="s">
        <v>27</v>
      </c>
      <c r="B75" s="8" t="s">
        <v>10</v>
      </c>
      <c r="C75" s="8" t="s">
        <v>28</v>
      </c>
      <c r="D75" s="8" t="s">
        <v>12</v>
      </c>
      <c r="E75" s="8" t="s">
        <v>13</v>
      </c>
      <c r="F75" s="8" t="s">
        <v>14</v>
      </c>
      <c r="G75" s="8" t="s">
        <v>15</v>
      </c>
      <c r="H75" s="8" t="s">
        <v>16</v>
      </c>
      <c r="I75" s="8" t="s">
        <v>17</v>
      </c>
    </row>
    <row r="76" spans="1:9" ht="15.75" thickBot="1" x14ac:dyDescent="0.3">
      <c r="A76" s="9" t="s">
        <v>29</v>
      </c>
      <c r="B76" s="10">
        <f>F73</f>
        <v>33</v>
      </c>
      <c r="C76" s="11">
        <v>0</v>
      </c>
      <c r="D76" s="12">
        <v>0</v>
      </c>
      <c r="E76" s="12">
        <f>B76+C76-D76</f>
        <v>33</v>
      </c>
      <c r="F76" s="12">
        <v>25</v>
      </c>
      <c r="G76" s="12">
        <f>E76-F76</f>
        <v>8</v>
      </c>
      <c r="H76" s="12">
        <v>275</v>
      </c>
      <c r="I76" s="13">
        <f>G76*H76</f>
        <v>2200</v>
      </c>
    </row>
    <row r="77" spans="1:9" ht="15.75" thickBot="1" x14ac:dyDescent="0.3"/>
    <row r="78" spans="1:9" ht="15.75" thickBot="1" x14ac:dyDescent="0.3">
      <c r="A78" s="42" t="s">
        <v>38</v>
      </c>
    </row>
    <row r="79" spans="1:9" x14ac:dyDescent="0.25">
      <c r="B79" s="38" t="s">
        <v>39</v>
      </c>
    </row>
  </sheetData>
  <mergeCells count="8">
    <mergeCell ref="B42:D45"/>
    <mergeCell ref="B46:D48"/>
    <mergeCell ref="A1:G1"/>
    <mergeCell ref="A3:C3"/>
    <mergeCell ref="B29:B33"/>
    <mergeCell ref="E29:F32"/>
    <mergeCell ref="B35:C39"/>
    <mergeCell ref="F35:G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2023-07-11T21:19:48Z</dcterms:modified>
</cp:coreProperties>
</file>